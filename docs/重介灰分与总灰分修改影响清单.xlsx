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重介精煤灰分的影响" sheetId="1" state="visible" r:id="rId1"/>
    <sheet name="改总精煤灰分(实际)的影响" sheetId="2" state="visible" r:id="rId2"/>
    <sheet name="改目标灰分(期望)的影响" sheetId="3" state="visible" r:id="rId3"/>
    <sheet name="联动规则总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22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受影响的信息</t>
        </is>
      </c>
      <c r="C1" s="1" t="inlineStr">
        <is>
          <t>变化方式</t>
        </is>
      </c>
      <c r="D1" s="1" t="inlineStr">
        <is>
          <t>位置</t>
        </is>
      </c>
      <c r="E1" s="1" t="inlineStr">
        <is>
          <t>备注</t>
        </is>
      </c>
    </row>
    <row r="2">
      <c r="A2" s="2" t="n">
        <v>1</v>
      </c>
      <c r="B2" s="3" t="inlineStr">
        <is>
          <t>在线仪表『重介精煤灰分』行</t>
        </is>
      </c>
      <c r="C2" s="3" t="inlineStr">
        <is>
          <t>值=v，来源层显示『手动(采样)』</t>
        </is>
      </c>
      <c r="D2" s="3" t="inlineStr">
        <is>
          <t>采集页-在线仪表</t>
        </is>
      </c>
      <c r="E2" s="3" t="inlineStr">
        <is>
          <t>双击行输入 / 采样表单提交</t>
        </is>
      </c>
    </row>
    <row r="3">
      <c r="A3" s="2" t="n">
        <v>2</v>
      </c>
      <c r="B3" s="3" t="inlineStr">
        <is>
          <t>在线仪表『总精煤灰分』行</t>
        </is>
      </c>
      <c r="C3" s="3" t="inlineStr">
        <is>
          <t>公式计算层 = 加权(v, 浮精灰分, 粗精灰分) → 数值变化</t>
        </is>
      </c>
      <c r="D3" s="3" t="inlineStr">
        <is>
          <t>采集页-在线仪表</t>
        </is>
      </c>
      <c r="E3" s="3" t="inlineStr">
        <is>
          <t>前提：总灰分当前无手动化验值（手动优先）</t>
        </is>
      </c>
    </row>
    <row r="4">
      <c r="A4" s="2" t="n">
        <v>3</v>
      </c>
      <c r="B4" s="3" t="inlineStr">
        <is>
          <t>卡片『实际灰分』</t>
        </is>
      </c>
      <c r="C4" s="3" t="inlineStr">
        <is>
          <t>与在线仪表总精煤灰分同源同值，随公式变化</t>
        </is>
      </c>
      <c r="D4" s="3" t="inlineStr">
        <is>
          <t>总览-合并卡片</t>
        </is>
      </c>
      <c r="E4" s="3" t="inlineStr">
        <is>
          <t>来源标注『在线仪表(总精煤灰分)』</t>
        </is>
      </c>
    </row>
    <row r="5">
      <c r="A5" s="2" t="n">
        <v>4</v>
      </c>
      <c r="B5" s="3" t="inlineStr">
        <is>
          <t>卡片『偏差』</t>
        </is>
      </c>
      <c r="C5" s="3">
        <f> 实际灰分 − 目标灰分 → 变化</f>
        <v/>
      </c>
      <c r="D5" s="3" t="inlineStr">
        <is>
          <t>总览-合并卡片</t>
        </is>
      </c>
      <c r="E5" s="3" t="inlineStr"/>
    </row>
    <row r="6">
      <c r="A6" s="2" t="n">
        <v>5</v>
      </c>
      <c r="B6" s="3" t="inlineStr">
        <is>
          <t>建议密度 / 目标密度</t>
        </is>
      </c>
      <c r="C6" s="3" t="inlineStr">
        <is>
          <t>ρ目标 = ρ当前 + K×(期望总灰分 − 实际总灰分) 重算</t>
        </is>
      </c>
      <c r="D6" s="3" t="inlineStr">
        <is>
          <t>总览-卡片大字与小字</t>
        </is>
      </c>
      <c r="E6" s="3" t="inlineStr">
        <is>
          <t>方向随之变：降密/提密/达标保持</t>
        </is>
      </c>
    </row>
    <row r="7">
      <c r="A7" s="2" t="n">
        <v>6</v>
      </c>
      <c r="B7" s="3" t="inlineStr">
        <is>
          <t>密度自动执行</t>
        </is>
      </c>
      <c r="C7" s="3" t="inlineStr">
        <is>
          <t>触发重算目标密度 → 按钳制(1秒/±0.01)逐步走向新目标后保持</t>
        </is>
      </c>
      <c r="D7" s="3" t="inlineStr">
        <is>
          <t>总览-后台/按钮</t>
        </is>
      </c>
      <c r="E7" s="3" t="inlineStr">
        <is>
          <t>自动执行开启时立即生效</t>
        </is>
      </c>
    </row>
    <row r="8">
      <c r="A8" s="2" t="n">
        <v>7</v>
      </c>
      <c r="B8" s="3" t="inlineStr">
        <is>
          <t>达标判定</t>
        </is>
      </c>
      <c r="C8" s="3" t="inlineStr">
        <is>
          <t>|实际总灰分 − 期望| ≤ 容差(默认±0.3%) → 绿色✓已达标 / 未达标</t>
        </is>
      </c>
      <c r="D8" s="3" t="inlineStr">
        <is>
          <t>总览-卡片 + 采样提交提示</t>
        </is>
      </c>
      <c r="E8" s="3" t="inlineStr"/>
    </row>
    <row r="9">
      <c r="A9" s="2" t="n">
        <v>8</v>
      </c>
      <c r="B9" s="3" t="inlineStr">
        <is>
          <t>详情弹窗</t>
        </is>
      </c>
      <c r="C9" s="3" t="inlineStr">
        <is>
          <t>重介灰分行、总灰分公式代入数值、实际总灰分、偏差、目标密度、重介灰分预测(调密后)、达标判定全部随动</t>
        </is>
      </c>
      <c r="D9" s="3" t="inlineStr">
        <is>
          <t>总览-卡片点击弹窗</t>
        </is>
      </c>
      <c r="E9" s="3" t="inlineStr">
        <is>
          <t>预测=当前重介灰分+Δρ/K，仅展示</t>
        </is>
      </c>
    </row>
    <row r="10">
      <c r="A10" s="2" t="n">
        <v>9</v>
      </c>
      <c r="B10" s="3" t="inlineStr">
        <is>
          <t>反推重介灰分(仅展示)</t>
        </is>
      </c>
      <c r="C10" s="3" t="inlineStr">
        <is>
          <t>≈ 给定的重介灰分本身（公式恒等）</t>
        </is>
      </c>
      <c r="D10" s="3" t="inlineStr">
        <is>
          <t>详情弹窗一行</t>
        </is>
      </c>
      <c r="E10" s="3" t="inlineStr">
        <is>
          <t>不参与任何计算</t>
        </is>
      </c>
    </row>
    <row r="11">
      <c r="A11" s="2" t="n">
        <v>10</v>
      </c>
      <c r="B11" s="3" t="inlineStr">
        <is>
          <t>采样训练数据</t>
        </is>
      </c>
      <c r="C11" s="3" t="inlineStr">
        <is>
          <t>提交采样时记录 (时间, 密度, 灰分) 到 heavySamples</t>
        </is>
      </c>
      <c r="D11" s="3" t="inlineStr">
        <is>
          <t>采集页-采样表单</t>
        </is>
      </c>
      <c r="E11" s="3" t="inlineStr">
        <is>
          <t>供将来 K 标定/训练</t>
        </is>
      </c>
    </row>
    <row r="12">
      <c r="A12" s="2" t="n">
        <v>11</v>
      </c>
      <c r="B12" s="3" t="inlineStr">
        <is>
          <t>不影响项</t>
        </is>
      </c>
      <c r="C12" s="3" t="inlineStr">
        <is>
          <t>浮精灰分/浮精量、粗精灰分/粗精量、密度计当前值、目标灰分(期望)、粗精煤泥模型</t>
        </is>
      </c>
      <c r="D12" s="3" t="inlineStr">
        <is>
          <t>—</t>
        </is>
      </c>
      <c r="E12" s="3" t="inlineStr">
        <is>
          <t>重介灰分为静态初始值，不参与实时演算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22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受影响的信息</t>
        </is>
      </c>
      <c r="C1" s="1" t="inlineStr">
        <is>
          <t>变化方式</t>
        </is>
      </c>
      <c r="D1" s="1" t="inlineStr">
        <is>
          <t>位置</t>
        </is>
      </c>
      <c r="E1" s="1" t="inlineStr">
        <is>
          <t>备注</t>
        </is>
      </c>
    </row>
    <row r="2">
      <c r="A2" s="2" t="n">
        <v>1</v>
      </c>
      <c r="B2" s="3" t="inlineStr">
        <is>
          <t>在线仪表『总精煤灰分』行</t>
        </is>
      </c>
      <c r="C2" s="3" t="inlineStr">
        <is>
          <t>值=v，来源层显示『手动』</t>
        </is>
      </c>
      <c r="D2" s="3" t="inlineStr">
        <is>
          <t>采集页-在线仪表</t>
        </is>
      </c>
      <c r="E2" s="3" t="inlineStr">
        <is>
          <t>双击行输入 / 卡片▲▼箭头（同一手动层）</t>
        </is>
      </c>
    </row>
    <row r="3">
      <c r="A3" s="2" t="n">
        <v>2</v>
      </c>
      <c r="B3" s="3" t="inlineStr">
        <is>
          <t>卡片『实际灰分』</t>
        </is>
      </c>
      <c r="C3" s="3">
        <f> v（同源同值）</f>
        <v/>
      </c>
      <c r="D3" s="3" t="inlineStr">
        <is>
          <t>总览-合并卡片</t>
        </is>
      </c>
      <c r="E3" s="3" t="inlineStr"/>
    </row>
    <row r="4">
      <c r="A4" s="2" t="n">
        <v>3</v>
      </c>
      <c r="B4" s="3" t="inlineStr">
        <is>
          <t>卡片『偏差』</t>
        </is>
      </c>
      <c r="C4" s="3">
        <f> v − 目标灰分 → 变化</f>
        <v/>
      </c>
      <c r="D4" s="3" t="inlineStr">
        <is>
          <t>总览-合并卡片</t>
        </is>
      </c>
      <c r="E4" s="3" t="inlineStr"/>
    </row>
    <row r="5">
      <c r="A5" s="2" t="n">
        <v>4</v>
      </c>
      <c r="B5" s="3" t="inlineStr">
        <is>
          <t>建议密度 / 目标密度</t>
        </is>
      </c>
      <c r="C5" s="3" t="inlineStr">
        <is>
          <t>ρ目标 = ρ当前 + K×(期望 − v) 重算</t>
        </is>
      </c>
      <c r="D5" s="3" t="inlineStr">
        <is>
          <t>总览-卡片</t>
        </is>
      </c>
      <c r="E5" s="3" t="inlineStr">
        <is>
          <t>方向随之变</t>
        </is>
      </c>
    </row>
    <row r="6">
      <c r="A6" s="2" t="n">
        <v>5</v>
      </c>
      <c r="B6" s="3" t="inlineStr">
        <is>
          <t>密度自动执行</t>
        </is>
      </c>
      <c r="C6" s="3" t="inlineStr">
        <is>
          <t>触发重算目标密度并逐步执行</t>
        </is>
      </c>
      <c r="D6" s="3" t="inlineStr">
        <is>
          <t>总览-后台</t>
        </is>
      </c>
      <c r="E6" s="3" t="inlineStr">
        <is>
          <t>开启时生效</t>
        </is>
      </c>
    </row>
    <row r="7">
      <c r="A7" s="2" t="n">
        <v>6</v>
      </c>
      <c r="B7" s="3" t="inlineStr">
        <is>
          <t>达标判定</t>
        </is>
      </c>
      <c r="C7" s="3" t="inlineStr">
        <is>
          <t>|v − 期望| ≤ 容差 → ✓已达标 / 未达标</t>
        </is>
      </c>
      <c r="D7" s="3" t="inlineStr">
        <is>
          <t>总览-卡片</t>
        </is>
      </c>
      <c r="E7" s="3" t="inlineStr"/>
    </row>
    <row r="8">
      <c r="A8" s="2" t="n">
        <v>7</v>
      </c>
      <c r="B8" s="3" t="inlineStr">
        <is>
          <t>详情弹窗</t>
        </is>
      </c>
      <c r="C8" s="3" t="inlineStr">
        <is>
          <t>实际总灰分、偏差、目标密度、预测、达标判定随动；『总灰分公式代入明细』不变</t>
        </is>
      </c>
      <c r="D8" s="3" t="inlineStr">
        <is>
          <t>总览-弹窗</t>
        </is>
      </c>
      <c r="E8" s="3" t="inlineStr"/>
    </row>
    <row r="9">
      <c r="A9" s="2" t="n">
        <v>8</v>
      </c>
      <c r="B9" s="3" t="inlineStr">
        <is>
          <t>反推重介灰分(仅展示)</t>
        </is>
      </c>
      <c r="C9" s="3">
        <f> (v×总煤量 − 浮灰×浮量 − 粗灰×粗量) ÷ 重介量 随动</f>
        <v/>
      </c>
      <c r="D9" s="3" t="inlineStr">
        <is>
          <t>详情弹窗一行</t>
        </is>
      </c>
      <c r="E9" s="3" t="inlineStr">
        <is>
          <t>仅展示不参与计算</t>
        </is>
      </c>
    </row>
    <row r="10">
      <c r="A10" s="2" t="n">
        <v>9</v>
      </c>
      <c r="B10" s="3" t="inlineStr">
        <is>
          <t>互相覆盖规则</t>
        </is>
      </c>
      <c r="C10" s="3" t="inlineStr">
        <is>
          <t>卡片▲▼箭头与在线仪表总灰分手动写同一字段，后写生效，互相覆盖</t>
        </is>
      </c>
      <c r="D10" s="3" t="inlineStr">
        <is>
          <t>总览/采集页</t>
        </is>
      </c>
      <c r="E10" s="3" t="inlineStr">
        <is>
          <t>不再冻结</t>
        </is>
      </c>
    </row>
    <row r="11">
      <c r="A11" s="2" t="n">
        <v>10</v>
      </c>
      <c r="B11" s="3" t="inlineStr">
        <is>
          <t>双击恢复</t>
        </is>
      </c>
      <c r="C11" s="3" t="inlineStr">
        <is>
          <t>双击卡片『实际灰分』→ 清空手动 → 回『公式计算』层</t>
        </is>
      </c>
      <c r="D11" s="3" t="inlineStr">
        <is>
          <t>总览-卡片</t>
        </is>
      </c>
      <c r="E11" s="3" t="inlineStr"/>
    </row>
    <row r="12">
      <c r="A12" s="2" t="n">
        <v>11</v>
      </c>
      <c r="B12" s="3" t="inlineStr">
        <is>
          <t>不影响项</t>
        </is>
      </c>
      <c r="C12" s="3" t="inlineStr">
        <is>
          <t>重介精煤灰分(静态)、目标灰分(期望)、灰分仪501/502读数、密度计、浮/粗参数</t>
        </is>
      </c>
      <c r="D12" s="3" t="inlineStr">
        <is>
          <t>—</t>
        </is>
      </c>
      <c r="E12" s="3" t="inlineStr">
        <is>
          <t>手动化验值优先于录入/公式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22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受影响的信息</t>
        </is>
      </c>
      <c r="C1" s="1" t="inlineStr">
        <is>
          <t>变化方式</t>
        </is>
      </c>
      <c r="D1" s="1" t="inlineStr">
        <is>
          <t>位置</t>
        </is>
      </c>
      <c r="E1" s="1" t="inlineStr">
        <is>
          <t>备注</t>
        </is>
      </c>
    </row>
    <row r="2">
      <c r="A2" s="2" t="n">
        <v>1</v>
      </c>
      <c r="B2" s="3" t="inlineStr">
        <is>
          <t>卡片『目标灰分』</t>
        </is>
      </c>
      <c r="C2" s="3" t="inlineStr">
        <is>
          <t>值变化（持久化 ashTarget）</t>
        </is>
      </c>
      <c r="D2" s="3" t="inlineStr">
        <is>
          <t>总览-合并卡片</t>
        </is>
      </c>
      <c r="E2" s="3" t="inlineStr">
        <is>
          <t>▲▼箭头调整</t>
        </is>
      </c>
    </row>
    <row r="3">
      <c r="A3" s="2" t="n">
        <v>2</v>
      </c>
      <c r="B3" s="3" t="inlineStr">
        <is>
          <t>卡片『偏差』</t>
        </is>
      </c>
      <c r="C3" s="3">
        <f> 实际灰分 − 新目标 → 变化</f>
        <v/>
      </c>
      <c r="D3" s="3" t="inlineStr">
        <is>
          <t>总览-合并卡片</t>
        </is>
      </c>
      <c r="E3" s="3" t="inlineStr"/>
    </row>
    <row r="4">
      <c r="A4" s="2" t="n">
        <v>3</v>
      </c>
      <c r="B4" s="3" t="inlineStr">
        <is>
          <t>建议密度 / 目标密度</t>
        </is>
      </c>
      <c r="C4" s="3" t="inlineStr">
        <is>
          <t>ρ目标 = ρ当前 + K×(新目标 − 实际总灰分) 重算</t>
        </is>
      </c>
      <c r="D4" s="3" t="inlineStr">
        <is>
          <t>总览-卡片</t>
        </is>
      </c>
      <c r="E4" s="3" t="inlineStr">
        <is>
          <t>方向随之变</t>
        </is>
      </c>
    </row>
    <row r="5">
      <c r="A5" s="2" t="n">
        <v>4</v>
      </c>
      <c r="B5" s="3" t="inlineStr">
        <is>
          <t>密度自动执行</t>
        </is>
      </c>
      <c r="C5" s="3" t="inlineStr">
        <is>
          <t>触发重算目标密度并逐步执行</t>
        </is>
      </c>
      <c r="D5" s="3" t="inlineStr">
        <is>
          <t>总览-后台</t>
        </is>
      </c>
      <c r="E5" s="3" t="inlineStr">
        <is>
          <t>开启时生效</t>
        </is>
      </c>
    </row>
    <row r="6">
      <c r="A6" s="2" t="n">
        <v>5</v>
      </c>
      <c r="B6" s="3" t="inlineStr">
        <is>
          <t>达标判定</t>
        </is>
      </c>
      <c r="C6" s="3" t="inlineStr">
        <is>
          <t>|实际 − 新目标| ≤ 容差 → ✓已达标 / 未达标</t>
        </is>
      </c>
      <c r="D6" s="3" t="inlineStr">
        <is>
          <t>总览-卡片</t>
        </is>
      </c>
      <c r="E6" s="3" t="inlineStr"/>
    </row>
    <row r="7">
      <c r="A7" s="2" t="n">
        <v>6</v>
      </c>
      <c r="B7" s="3" t="inlineStr">
        <is>
          <t>详情弹窗</t>
        </is>
      </c>
      <c r="C7" s="3" t="inlineStr">
        <is>
          <t>期望总灰分、偏差、目标密度、达标判定随动</t>
        </is>
      </c>
      <c r="D7" s="3" t="inlineStr">
        <is>
          <t>总览-弹窗</t>
        </is>
      </c>
      <c r="E7" s="3" t="inlineStr"/>
    </row>
    <row r="8">
      <c r="A8" s="2" t="n">
        <v>7</v>
      </c>
      <c r="B8" s="3" t="inlineStr">
        <is>
          <t>双击恢复</t>
        </is>
      </c>
      <c r="C8" s="3" t="inlineStr">
        <is>
          <t>双击卡片『目标灰分』→ 恢复默认 8.50%</t>
        </is>
      </c>
      <c r="D8" s="3" t="inlineStr">
        <is>
          <t>总览-卡片</t>
        </is>
      </c>
      <c r="E8" s="3" t="inlineStr"/>
    </row>
    <row r="9">
      <c r="A9" s="2" t="n">
        <v>8</v>
      </c>
      <c r="B9" s="3" t="inlineStr">
        <is>
          <t>不影响项</t>
        </is>
      </c>
      <c r="C9" s="3" t="inlineStr">
        <is>
          <t>在线仪表『总精煤灰分』(实际)、重介精煤灰分、灰分仪读数、密度计</t>
        </is>
      </c>
      <c r="D9" s="3" t="inlineStr">
        <is>
          <t>—</t>
        </is>
      </c>
      <c r="E9" s="3" t="inlineStr">
        <is>
          <t>目标与实�际是独立概念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核心链路</t>
        </is>
      </c>
      <c r="B2" s="3" t="inlineStr">
        <is>
          <t>重介灰分(静态给定) → 公式推出总灰分 → 与期望(目标)对比 → 总灰分偏差驱动建议密度 → 密度逐步调到目标 → 预测重介灰分(仅展示) → 采样验证 → 循环</t>
        </is>
      </c>
    </row>
    <row r="3">
      <c r="A3" s="2" t="inlineStr">
        <is>
          <t>取值优先级(总精煤灰分)</t>
        </is>
      </c>
      <c r="B3" s="3" t="inlineStr">
        <is>
          <t>手动(化验) &gt; 公式计算(重介+浮+粗) &gt; 录入(表3/补录) &gt; 默认(灰分仪加权)</t>
        </is>
      </c>
    </row>
    <row r="4">
      <c r="A4" s="2" t="inlineStr">
        <is>
          <t>手动互相覆盖</t>
        </is>
      </c>
      <c r="B4" s="3" t="inlineStr">
        <is>
          <t>卡片▲▼箭头(实际灰分) 与 在线仪表总灰分手动 = 同一手动层，后写生效；目标灰分只由卡片箭头设置</t>
        </is>
      </c>
    </row>
    <row r="5">
      <c r="A5" s="2" t="inlineStr">
        <is>
          <t>重介灰分性质</t>
        </is>
      </c>
      <c r="B5" s="3" t="inlineStr">
        <is>
          <t>静态初始值（手写/导入/采样给一次），无值默认8.50，不参与实时反推演算</t>
        </is>
      </c>
    </row>
    <row r="6">
      <c r="A6" s="2" t="inlineStr">
        <is>
          <t>反推重介灰分</t>
        </is>
      </c>
      <c r="B6" s="3" t="inlineStr">
        <is>
          <t>保留计算但仅展示（弹窗一行），不驱动任何链路</t>
        </is>
      </c>
    </row>
    <row r="7">
      <c r="A7" s="2" t="inlineStr">
        <is>
          <t>密度执行</t>
        </is>
      </c>
      <c r="B7" s="3" t="inlineStr">
        <is>
          <t>每1秒、每步±钳制幅度(0.01)，逐步走向目标密度后保持；中途不因步数/方向翻转停止；新采样/改数/导入→重算目标</t>
        </is>
      </c>
    </row>
    <row r="8">
      <c r="A8" s="2" t="inlineStr">
        <is>
          <t>达标判据</t>
        </is>
      </c>
      <c r="B8" s="3" t="inlineStr">
        <is>
          <t>|实际总灰分 − 期望| ≤ 容差（页面可配置，默认±0.3%），达标后密度保持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2026-09-07T01:16:58Z</dcterms:created>
  <dcterms:modified xsi:type="dcterms:W3CDTF">2026-09-07T01:16:58Z</dcterms:modified>
</cp:coreProperties>
</file>