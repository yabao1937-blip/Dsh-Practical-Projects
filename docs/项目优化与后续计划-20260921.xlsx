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47434616e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轮改动" sheetId="1" r:id="Rbad8ab7ff6a04100"/>
    <x:sheet xmlns:r="http://schemas.openxmlformats.org/officeDocument/2006/relationships" name="后续任务" sheetId="2" r:id="R2a26668720284c92"/>
    <x:sheet xmlns:r="http://schemas.openxmlformats.org/officeDocument/2006/relationships" name="实施批次" sheetId="3" r:id="R7259476006b2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sz val="11"/>
      <x:name val="Arial"/>
    </x:font>
    <x:font>
      <x:sz val="11"/>
      <x:color rgb="FF243245"/>
      <x:name val="Arial"/>
    </x:font>
    <x:font>
      <x:sz val="16"/>
      <x:color rgb="FF243245"/>
      <x:name val="Arial"/>
    </x:font>
    <x:font>
      <x:b/>
      <x:sz val="16"/>
      <x:color rgb="FF243245"/>
      <x:name val="Arial"/>
    </x:font>
    <x:font>
      <x:sz val="11"/>
      <x:color rgb="FF64748B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65C"/>
      </x:patternFill>
    </x:fill>
    <x:fill>
      <x:patternFill patternType="solid">
        <x:fgColor rgb="FFF1F5F9"/>
      </x:patternFill>
    </x:fill>
    <x:fill>
      <x:patternFill patternType="solid">
        <x:fgColor rgb="FFFFF3CC"/>
      </x:patternFill>
    </x:fill>
  </x:fills>
  <x:borders count="5">
    <x:border/>
    <x:border>
      <x:bottom style="thin">
        <x:color rgb="FF9DAFC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4" fillId="0" borderId="1" xfId="0" applyNumberFormat="1" applyFont="1" applyFill="1" applyBorder="1" applyAlignment="1">
      <x:alignment vertical="top" wrapText="0"/>
    </x:xf>
    <x:xf numFmtId="0" fontId="2" fillId="0" borderId="1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2" xfId="0" applyNumberFormat="1" applyFont="1" applyFill="1" applyBorder="1" applyAlignment="1">
      <x:alignment horizontal="center" vertical="top" wrapText="1"/>
    </x:xf>
    <x:xf numFmtId="0" fontId="7" fillId="2" borderId="3" xfId="0" applyNumberFormat="1" applyFont="1" applyFill="1" applyBorder="1" applyAlignment="1">
      <x:alignment horizontal="center" vertical="top" wrapText="1"/>
    </x:xf>
    <x:xf numFmtId="0" fontId="7" fillId="2" borderId="4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A6383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ed3572274468f" /><Relationship Type="http://schemas.openxmlformats.org/officeDocument/2006/relationships/theme" Target="/xl/theme/theme1.xml" Id="R539df2af97e14008" /><Relationship Type="http://schemas.openxmlformats.org/officeDocument/2006/relationships/sharedStrings" Target="/xl/sharedStrings.xml" Id="Re801120a83d0499a" /><Relationship Type="http://schemas.openxmlformats.org/officeDocument/2006/relationships/worksheet" Target="/xl/worksheets/sheet1.xml" Id="Rbad8ab7ff6a04100" /><Relationship Type="http://schemas.openxmlformats.org/officeDocument/2006/relationships/worksheet" Target="/xl/worksheets/sheet2.xml" Id="R2a26668720284c92" /><Relationship Type="http://schemas.openxmlformats.org/officeDocument/2006/relationships/worksheet" Target="/xl/worksheets/sheet3.xml" Id="R7259476006b244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75" hidden="0" customWidth="1"/>
    <x:col min="2" max="2" width="8.75" hidden="0" customWidth="1"/>
    <x:col min="3" max="3" width="20.6299991607666" hidden="0" customWidth="1"/>
    <x:col min="4" max="4" width="45" hidden="0" customWidth="1"/>
    <x:col min="5" max="5" width="46.25" hidden="0" customWidth="1"/>
    <x:col min="6" max="6" width="18.1299991607666" hidden="0" customWidth="1"/>
  </x:cols>
  <x:sheetData>
    <x:row r="1" ht="29" customHeight="1">
      <x:c r="A1" s="9" t="str">
        <x:v>本轮优化内容</x:v>
      </x:c>
      <x:c r="B1" s="10"/>
      <x:c r="C1" s="10"/>
      <x:c r="D1" s="10"/>
      <x:c r="E1" s="10"/>
      <x:c r="F1" s="10"/>
    </x:row>
    <x:row r="2" ht="25" customHeight="1">
      <x:c r="A2" s="11" t="str">
        <x:v>2026-09-21。代码依据：取值链、总览、助手、鉴权、同步与回归测试。</x:v>
      </x:c>
      <x:c r="B2" s="8"/>
      <x:c r="C2" s="8"/>
      <x:c r="D2" s="8"/>
      <x:c r="E2" s="8"/>
      <x:c r="F2" s="8"/>
    </x:row>
    <x:row r="3">
      <x:c r="A3" s="4"/>
      <x:c r="B3" s="4"/>
      <x:c r="C3" s="4"/>
      <x:c r="D3" s="4"/>
      <x:c r="E3" s="4"/>
      <x:c r="F3" s="4"/>
    </x:row>
    <x:row r="4" ht="30" customHeight="1">
      <x:c r="A4" s="16" t="str">
        <x:v>编号</x:v>
      </x:c>
      <x:c r="B4" s="17" t="str">
        <x:v>优先级</x:v>
      </x:c>
      <x:c r="C4" s="17" t="str">
        <x:v>模块</x:v>
      </x:c>
      <x:c r="D4" s="17" t="str">
        <x:v>完成内容</x:v>
      </x:c>
      <x:c r="E4" s="17" t="str">
        <x:v>验证内容</x:v>
      </x:c>
      <x:c r="F4" s="18" t="str">
        <x:v>当前阶段</x:v>
      </x:c>
    </x:row>
    <x:row r="5" ht="78" customHeight="1">
      <x:c r="A5" s="19" t="str">
        <x:v>C01</x:v>
      </x:c>
      <x:c r="B5" s="19" t="str">
        <x:v>P0</x:v>
      </x:c>
      <x:c r="C5" s="19" t="str">
        <x:v>灰分测量取值</x:v>
      </x:c>
      <x:c r="D5" s="19" t="str">
        <x:v>移除501/502与总灰分录入链中的密度仿真增量；缺失读数不转换为0。</x:v>
      </x:c>
      <x:c r="E5" s="19" t="str">
        <x:v>改变密度后原始灰分不变；前后端对拍包含缺测和在线读数。</x:v>
      </x:c>
      <x:c r="F5" s="19" t="str">
        <x:v>已实现，待审阅</x:v>
      </x:c>
    </x:row>
    <x:row r="6" ht="78" customHeight="1">
      <x:c r="A6" s="4" t="str">
        <x:v>C02</x:v>
      </x:c>
      <x:c r="B6" s="4" t="str">
        <x:v>P0</x:v>
      </x:c>
      <x:c r="C6" s="4" t="str">
        <x:v>统一服务端决策</x:v>
      </x:c>
      <x:c r="D6" s="4" t="str">
        <x:v>总览与AI助手复用取值、常量守卫、重介换算、动作保护和maxStep。</x:v>
      </x:c>
      <x:c r="E6" s="4" t="str">
        <x:v>相同状态下两接口给出相同有效性、方向、原因和建议密度。</x:v>
      </x:c>
      <x:c r="F6" s="4" t="str">
        <x:v>已实现，待审阅</x:v>
      </x:c>
    </x:row>
    <x:row r="7" ht="78" customHeight="1">
      <x:c r="A7" s="19" t="str">
        <x:v>C03</x:v>
      </x:c>
      <x:c r="B7" s="19" t="str">
        <x:v>P0</x:v>
      </x:c>
      <x:c r="C7" s="19" t="str">
        <x:v>动作与来源持久化</x:v>
      </x:c>
      <x:c r="D7" s="19" t="str">
        <x:v>保存动作闩锁、最后调密时间及重介来源开关；新日志标记测量口径。</x:v>
      </x:c>
      <x:c r="E7" s="19" t="str">
        <x:v>数据库往返不丢保护状态；重复动作保持；旧日志保留原值并区分。</x:v>
      </x:c>
      <x:c r="F7" s="19" t="str">
        <x:v>已实现，待审阅</x:v>
      </x:c>
    </x:row>
    <x:row r="8" ht="78" customHeight="1">
      <x:c r="A8" s="4" t="str">
        <x:v>C04</x:v>
      </x:c>
      <x:c r="B8" s="4" t="str">
        <x:v>P0</x:v>
      </x:c>
      <x:c r="C8" s="4" t="str">
        <x:v>删除接口鉴权</x:v>
      </x:c>
      <x:c r="D8" s="4" t="str">
        <x:v>记录与补录DELETE接口接入写权限依赖。</x:v>
      </x:c>
      <x:c r="E8" s="4" t="str">
        <x:v>远端无token或错误token返回401；有效token进入记录查询。</x:v>
      </x:c>
      <x:c r="F8" s="4" t="str">
        <x:v>已实现，待审阅</x:v>
      </x:c>
    </x:row>
    <x:row r="9" ht="78" customHeight="1">
      <x:c r="A9" s="19" t="str">
        <x:v>C05</x:v>
      </x:c>
      <x:c r="B9" s="19" t="str">
        <x:v>P1</x:v>
      </x:c>
      <x:c r="C9" s="19" t="str">
        <x:v>同步失败分类</x:v>
      </x:c>
      <x:c r="D9" s="19" t="str">
        <x:v>保留401/403的denied标记与原因，避免误报为网络故障。</x:v>
      </x:c>
      <x:c r="E9" s="19" t="str">
        <x:v>权限、过期快照、数据库异常和断网共5个场景分类正确。</x:v>
      </x:c>
      <x:c r="F9" s="19" t="str">
        <x:v>已实现，待审阅</x:v>
      </x:c>
    </x:row>
    <x:row r="10" ht="78" customHeight="1">
      <x:c r="A10" s="4" t="str">
        <x:v>C06</x:v>
      </x:c>
      <x:c r="B10" s="4" t="str">
        <x:v>P1</x:v>
      </x:c>
      <x:c r="C10" s="4" t="str">
        <x:v>回归与说明</x:v>
      </x:c>
      <x:c r="D10" s="4" t="str">
        <x:v>增加真实前端函数对拍、决策入口一致性及持久化测试；更新工艺说明。</x:v>
      </x:c>
      <x:c r="E10" s="4" t="str">
        <x:v>11个前后端场景按1e-6容差比较；后端回归与JS语法检查通过。</x:v>
      </x:c>
      <x:c r="F10" s="4" t="str">
        <x:v>已实现，待审阅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130000114440918" hidden="0" customWidth="1"/>
    <x:col min="2" max="2" width="8.75" hidden="0" customWidth="1"/>
    <x:col min="3" max="3" width="22.5" hidden="0" customWidth="1"/>
    <x:col min="4" max="4" width="41.880001068115234" hidden="0" customWidth="1"/>
    <x:col min="5" max="5" width="43.75" hidden="0" customWidth="1"/>
    <x:col min="6" max="6" width="20.6299991607666" hidden="0" customWidth="1"/>
    <x:col min="7" max="7" width="10.630000114440918" hidden="0" customWidth="1"/>
    <x:col min="8" max="8" width="8.130000114440918" hidden="0" customWidth="1"/>
    <x:col min="9" max="9" width="11.880000114440918" hidden="0" customWidth="1"/>
  </x:cols>
  <x:sheetData>
    <x:row r="1" ht="29" customHeight="1">
      <x:c r="A1" s="9" t="str">
        <x:v>后续优化任务</x:v>
      </x:c>
      <x:c r="B1" s="10"/>
      <x:c r="C1" s="10"/>
      <x:c r="D1" s="10"/>
      <x:c r="E1" s="10"/>
      <x:c r="F1" s="10"/>
      <x:c r="G1" s="10"/>
      <x:c r="H1" s="10"/>
      <x:c r="I1" s="10"/>
    </x:row>
    <x:row r="2" ht="25" customHeight="1">
      <x:c r="A2" s="11" t="str">
        <x:v>估算为开发与测试人日，未包含现场等待。黄色列可更新；待确认项需先落实现场条件。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30" customHeight="1">
      <x:c r="A4" s="16" t="str">
        <x:v>编号</x:v>
      </x:c>
      <x:c r="B4" s="17" t="str">
        <x:v>优先级</x:v>
      </x:c>
      <x:c r="C4" s="17" t="str">
        <x:v>工作项</x:v>
      </x:c>
      <x:c r="D4" s="17" t="str">
        <x:v>交付内容与原因</x:v>
      </x:c>
      <x:c r="E4" s="17" t="str">
        <x:v>验收标准</x:v>
      </x:c>
      <x:c r="F4" s="17" t="str">
        <x:v>前置依赖</x:v>
      </x:c>
      <x:c r="G4" s="17" t="str">
        <x:v>估算人日</x:v>
      </x:c>
      <x:c r="H4" s="17" t="str">
        <x:v>批次</x:v>
      </x:c>
      <x:c r="I4" s="18" t="str">
        <x:v>状态</x:v>
      </x:c>
    </x:row>
    <x:row r="5" ht="92" customHeight="1">
      <x:c r="A5" s="19" t="str">
        <x:v>T01</x:v>
      </x:c>
      <x:c r="B5" s="19" t="str">
        <x:v>P0</x:v>
      </x:c>
      <x:c r="C5" s="19" t="str">
        <x:v>快照版本冲突检测</x:v>
      </x:c>
      <x:c r="D5" s="19" t="str">
        <x:v>整库写入携带基础版本；版本校验与写入必须原子执行，防止同条数旧数据覆盖新数据。</x:v>
      </x:c>
      <x:c r="E5" s="19" t="str">
        <x:v>两个浏览器修改同一快照，后提交者收到409；修改、删除和重训练都推进版本。</x:v>
      </x:c>
      <x:c r="F5" s="19" t="str">
        <x:v>本轮修复</x:v>
      </x:c>
      <x:c r="G5" s="22" t="n">
        <x:v>3</x:v>
      </x:c>
      <x:c r="H5" s="19" t="str">
        <x:v>B1</x:v>
      </x:c>
      <x:c r="I5" s="23" t="str">
        <x:v>待实施</x:v>
      </x:c>
    </x:row>
    <x:row r="6" ht="92" customHeight="1">
      <x:c r="A6" s="4" t="str">
        <x:v>T02</x:v>
      </x:c>
      <x:c r="B6" s="4" t="str">
        <x:v>P0</x:v>
      </x:c>
      <x:c r="C6" s="4" t="str">
        <x:v>服务端权威与增量同步</x:v>
      </x:c>
      <x:c r="D6" s="4" t="str">
        <x:v>记录、配置、采样改用增量接口；离线操作携带幂等键，冲突保留双方内容。</x:v>
      </x:c>
      <x:c r="E6" s="4" t="str">
        <x:v>并发、离线重试、重复提交不丢记录；整库接口仅用于明确的恢复流程。</x:v>
      </x:c>
      <x:c r="F6" s="4" t="str">
        <x:v>T01</x:v>
      </x:c>
      <x:c r="G6" s="22" t="n">
        <x:v>5</x:v>
      </x:c>
      <x:c r="H6" s="4" t="str">
        <x:v>B1</x:v>
      </x:c>
      <x:c r="I6" s="23" t="str">
        <x:v>待实施</x:v>
      </x:c>
    </x:row>
    <x:row r="7" ht="92" customHeight="1">
      <x:c r="A7" s="19" t="str">
        <x:v>T03</x:v>
      </x:c>
      <x:c r="B7" s="19" t="str">
        <x:v>P0</x:v>
      </x:c>
      <x:c r="C7" s="19" t="str">
        <x:v>测量来源和有效期</x:v>
      </x:c>
      <x:c r="D7" s="19" t="str">
        <x:v>统一value/source/sampledAt/receivedAt/quality/unit；区分实测、预测、默认及过期值。</x:v>
      </x:c>
      <x:c r="E7" s="19" t="str">
        <x:v>缺测、过期、未来时间、非法数值均有明确状态；默认值不能冒充实测驱动建议。</x:v>
      </x:c>
      <x:c r="F7" s="19" t="str">
        <x:v>现场确认采样周期</x:v>
      </x:c>
      <x:c r="G7" s="22" t="n">
        <x:v>3</x:v>
      </x:c>
      <x:c r="H7" s="19" t="str">
        <x:v>B1</x:v>
      </x:c>
      <x:c r="I7" s="23" t="str">
        <x:v>待实施</x:v>
      </x:c>
    </x:row>
    <x:row r="8" ht="92" customHeight="1">
      <x:c r="A8" s="4" t="str">
        <x:v>T04</x:v>
      </x:c>
      <x:c r="B8" s="4" t="str">
        <x:v>P1</x:v>
      </x:c>
      <x:c r="C8" s="4" t="str">
        <x:v>测点唯一键与迁移</x:v>
      </x:c>
      <x:c r="D8" s="4" t="str">
        <x:v>核实501/502同一时间采样规则，加入测点身份；先备份、排查冲突，再迁移。</x:v>
      </x:c>
      <x:c r="E8" s="4" t="str">
        <x:v>同系统同时刻两条皮带均保留；重复导入幂等；迁移与回滚演练通过。</x:v>
      </x:c>
      <x:c r="F8" s="4" t="str">
        <x:v>现场确认测点字典</x:v>
      </x:c>
      <x:c r="G8" s="22" t="n">
        <x:v>2</x:v>
      </x:c>
      <x:c r="H8" s="4" t="str">
        <x:v>B2</x:v>
      </x:c>
      <x:c r="I8" s="23" t="str">
        <x:v>待确认</x:v>
      </x:c>
    </x:row>
    <x:row r="9" ht="92" customHeight="1">
      <x:c r="A9" s="19" t="str">
        <x:v>T05</x:v>
      </x:c>
      <x:c r="B9" s="19" t="str">
        <x:v>P1</x:v>
      </x:c>
      <x:c r="C9" s="19" t="str">
        <x:v>质量平衡与单位口径</x:v>
      </x:c>
      <x:c r="D9" s="19" t="str">
        <x:v>核实501与502秤的位置，检查总量相加是否重复计量；确认干湿基、流量和时间窗。</x:v>
      </x:c>
      <x:c r="E9" s="19" t="str">
        <x:v>工艺人员确认秤点图和公式；人工算例与系统一致；不自动修改未确认公式。</x:v>
      </x:c>
      <x:c r="F9" s="19" t="str">
        <x:v>工艺与仪表人员访谈</x:v>
      </x:c>
      <x:c r="G9" s="22" t="n">
        <x:v>2</x:v>
      </x:c>
      <x:c r="H9" s="19" t="str">
        <x:v>B2</x:v>
      </x:c>
      <x:c r="I9" s="23" t="str">
        <x:v>待确认</x:v>
      </x:c>
    </x:row>
    <x:row r="10" ht="92" customHeight="1">
      <x:c r="A10" s="4" t="str">
        <x:v>T06</x:v>
      </x:c>
      <x:c r="B10" s="4" t="str">
        <x:v>P1</x:v>
      </x:c>
      <x:c r="C10" s="4" t="str">
        <x:v>无泄漏时序验证</x:v>
      </x:c>
      <x:c r="D10" s="4" t="str">
        <x:v>缺失填补、标准化、特征筛选与调参均在训练折内完成；引入按日或班次切分。</x:v>
      </x:c>
      <x:c r="E10" s="4" t="str">
        <x:v>未来数据不影响早期折预处理；输出时序RMSE/MAE及最近实测值基线；前后端迁移口径明确。</x:v>
      </x:c>
      <x:c r="F10" s="4" t="str">
        <x:v>T03；确认样本分组</x:v>
      </x:c>
      <x:c r="G10" s="22" t="n">
        <x:v>5</x:v>
      </x:c>
      <x:c r="H10" s="4" t="str">
        <x:v>B2</x:v>
      </x:c>
      <x:c r="I10" s="23" t="str">
        <x:v>待实施</x:v>
      </x:c>
    </x:row>
    <x:row r="11" ht="92" customHeight="1">
      <x:c r="A11" s="19" t="str">
        <x:v>T07</x:v>
      </x:c>
      <x:c r="B11" s="19" t="str">
        <x:v>P1</x:v>
      </x:c>
      <x:c r="C11" s="19" t="str">
        <x:v>模型发布与回滚</x:v>
      </x:c>
      <x:c r="D11" s="19" t="str">
        <x:v>候选模型达到时序性能门槛后才发布；保存数据版本、特征版本、参数与模型版本。</x:v>
      </x:c>
      <x:c r="E11" s="19" t="str">
        <x:v>两个候选均不合格时保留旧模型；发布可回滚；历史预测可追溯到模型版本。</x:v>
      </x:c>
      <x:c r="F11" s="19" t="str">
        <x:v>T06</x:v>
      </x:c>
      <x:c r="G11" s="22" t="n">
        <x:v>3</x:v>
      </x:c>
      <x:c r="H11" s="19" t="str">
        <x:v>B2</x:v>
      </x:c>
      <x:c r="I11" s="23" t="str">
        <x:v>待实施</x:v>
      </x:c>
    </x:row>
    <x:row r="12" ht="92" customHeight="1">
      <x:c r="A12" s="4" t="str">
        <x:v>T08</x:v>
      </x:c>
      <x:c r="B12" s="4" t="str">
        <x:v>P1</x:v>
      </x:c>
      <x:c r="C12" s="4" t="str">
        <x:v>账号权限与审计</x:v>
      </x:c>
      <x:c r="D12" s="4" t="str">
        <x:v>替换公开页面token模式，按查看、操作、管理授权；AI调用增加权限与限流。</x:v>
      </x:c>
      <x:c r="E12" s="4" t="str">
        <x:v>查看者不能写入或删除；操作可查人员与时间；恢复和管理功能单独授权。</x:v>
      </x:c>
      <x:c r="F12" s="4" t="str">
        <x:v>确认部署网络与人员角色</x:v>
      </x:c>
      <x:c r="G12" s="22" t="n">
        <x:v>4</x:v>
      </x:c>
      <x:c r="H12" s="4" t="str">
        <x:v>B3</x:v>
      </x:c>
      <x:c r="I12" s="23" t="str">
        <x:v>待确认</x:v>
      </x:c>
    </x:row>
    <x:row r="13" ht="92" customHeight="1">
      <x:c r="A13" s="19" t="str">
        <x:v>T09</x:v>
      </x:c>
      <x:c r="B13" s="19" t="str">
        <x:v>P1</x:v>
      </x:c>
      <x:c r="C13" s="19" t="str">
        <x:v>备份恢复与发布流程</x:v>
      </x:c>
      <x:c r="D13" s="19" t="str">
        <x:v>强制覆盖前备份失败则阻断；定期备份；统一Alembic迁移、生产启动和依赖锁。</x:v>
      </x:c>
      <x:c r="E13" s="19" t="str">
        <x:v>恢复演练核对数据量与关键字段；新库和旧库升级通过；生产关闭reload。</x:v>
      </x:c>
      <x:c r="F13" s="19" t="str">
        <x:v>T01；明确备份保留周期</x:v>
      </x:c>
      <x:c r="G13" s="22" t="n">
        <x:v>3</x:v>
      </x:c>
      <x:c r="H13" s="19" t="str">
        <x:v>B3</x:v>
      </x:c>
      <x:c r="I13" s="23" t="str">
        <x:v>待实施</x:v>
      </x:c>
    </x:row>
    <x:row r="14" ht="92" customHeight="1">
      <x:c r="A14" s="4" t="str">
        <x:v>T10</x:v>
      </x:c>
      <x:c r="B14" s="4" t="str">
        <x:v>P2</x:v>
      </x:c>
      <x:c r="C14" s="4" t="str">
        <x:v>前端拆分与计算收敛</x:v>
      </x:c>
      <x:c r="D14" s="4" t="str">
        <x:v>拆分store、同步、取值、决策和训练；在线模式逐步采用服务端计算结果。</x:v>
      </x:c>
      <x:c r="E14" s="4" t="str">
        <x:v>关键业务对拍与浏览器回归通过；文件离线模式明确边界；页面无重复计算副作用。</x:v>
      </x:c>
      <x:c r="F14" s="4" t="str">
        <x:v>T02、T03</x:v>
      </x:c>
      <x:c r="G14" s="22" t="n">
        <x:v>4</x:v>
      </x:c>
      <x:c r="H14" s="4" t="str">
        <x:v>B3</x:v>
      </x:c>
      <x:c r="I14" s="23" t="str">
        <x:v>待实施</x:v>
      </x:c>
    </x:row>
    <x:row r="15" ht="92" customHeight="1">
      <x:c r="A15" s="19" t="str">
        <x:v>T11</x:v>
      </x:c>
      <x:c r="B15" s="19" t="str">
        <x:v>P2</x:v>
      </x:c>
      <x:c r="C15" s="19" t="str">
        <x:v>查询与训练性能</x:v>
      </x:c>
      <x:c r="D15" s="19" t="str">
        <x:v>按日期分页与聚合；训练任务异步化，记录任务状态，避免整库读取和长时间占用。</x:v>
      </x:c>
      <x:c r="E15" s="19" t="str">
        <x:v>以实际数据量测量响应时间；训练期间可查看页面；超时、取消、失败可恢复。</x:v>
      </x:c>
      <x:c r="F15" s="19" t="str">
        <x:v>T02；确定数据增长预期</x:v>
      </x:c>
      <x:c r="G15" s="22" t="n">
        <x:v>3</x:v>
      </x:c>
      <x:c r="H15" s="19" t="str">
        <x:v>B3</x:v>
      </x:c>
      <x:c r="I15" s="23" t="str">
        <x:v>待实施</x:v>
      </x:c>
    </x:row>
    <x:row r="16" ht="92" customHeight="1">
      <x:c r="A16" s="4" t="str">
        <x:v>T12</x:v>
      </x:c>
      <x:c r="B16" s="4" t="str">
        <x:v>P2</x:v>
      </x:c>
      <x:c r="C16" s="4" t="str">
        <x:v>PLC只读接入与密度标定</x:v>
      </x:c>
      <x:c r="D16" s="4" t="str">
        <x:v>先接入带质量码的只读测量，再用现场批准的阶跃实验识别时延与增益。</x:v>
      </x:c>
      <x:c r="E16" s="4" t="str">
        <x:v>先影子运行核对仪表值；记录工况、执行时刻与化验响应；未验收前保持人工执行。</x:v>
      </x:c>
      <x:c r="F16" s="4" t="str">
        <x:v>T03、T05；现场实验窗口</x:v>
      </x:c>
      <x:c r="G16" s="22" t="n">
        <x:v>5</x:v>
      </x:c>
      <x:c r="H16" s="4" t="str">
        <x:v>B4</x:v>
      </x:c>
      <x:c r="I16" s="23" t="str">
        <x:v>待确认</x:v>
      </x:c>
    </x:row>
  </x:sheetData>
  <x:conditionalFormatting sqref="B5:B16">
    <x:cfRule type="containsText" dxfId="0" priority="1" operator="containsText" text="P0"/>
  </x:conditionalFormatting>
  <x:dataValidations count="1">
    <x:dataValidation type="list" sqref="I5:I16">
      <x:formula1>"待实施,待确认,进行中,已完成"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2.5" hidden="0" customWidth="1"/>
    <x:col min="3" max="3" width="31.25" hidden="0" customWidth="1"/>
    <x:col min="4" max="4" width="61.25" hidden="0" customWidth="1"/>
    <x:col min="5" max="5" width="11.880000114440918" hidden="0" customWidth="1"/>
    <x:col min="6" max="6" width="15" hidden="0" customWidth="1"/>
  </x:cols>
  <x:sheetData>
    <x:row r="1" ht="29" customHeight="1">
      <x:c r="A1" s="9" t="str">
        <x:v>建议实施顺序</x:v>
      </x:c>
      <x:c r="B1" s="10"/>
      <x:c r="C1" s="10"/>
      <x:c r="D1" s="10"/>
      <x:c r="E1" s="10"/>
      <x:c r="F1" s="10"/>
    </x:row>
    <x:row r="2" ht="25" customHeight="1">
      <x:c r="A2" s="11" t="str">
        <x:v>工作量是假设单名开发者参与的初步估算，不是上线日期承诺。</x:v>
      </x:c>
      <x:c r="B2" s="8"/>
      <x:c r="C2" s="8"/>
      <x:c r="D2" s="8"/>
      <x:c r="E2" s="8"/>
      <x:c r="F2" s="8"/>
    </x:row>
    <x:row r="3">
      <x:c r="A3" s="4"/>
      <x:c r="B3" s="4"/>
      <x:c r="C3" s="4"/>
      <x:c r="D3" s="4"/>
      <x:c r="E3" s="4"/>
      <x:c r="F3" s="4"/>
    </x:row>
    <x:row r="4" ht="30" customHeight="1">
      <x:c r="A4" s="16" t="str">
        <x:v>批次</x:v>
      </x:c>
      <x:c r="B4" s="17" t="str">
        <x:v>目标</x:v>
      </x:c>
      <x:c r="C4" s="17" t="str">
        <x:v>进入条件</x:v>
      </x:c>
      <x:c r="D4" s="17" t="str">
        <x:v>完成条件</x:v>
      </x:c>
      <x:c r="E4" s="17" t="str">
        <x:v>估算人日</x:v>
      </x:c>
      <x:c r="F4" s="18" t="str">
        <x:v>任务范围</x:v>
      </x:c>
    </x:row>
    <x:row r="5" ht="72" customHeight="1">
      <x:c r="A5" s="19" t="str">
        <x:v>B1</x:v>
      </x:c>
      <x:c r="B5" s="19" t="str">
        <x:v>数据与建议可信</x:v>
      </x:c>
      <x:c r="C5" s="19" t="str">
        <x:v>本轮改动通过审阅</x:v>
      </x:c>
      <x:c r="D5" s="19" t="str">
        <x:v>并发冲突可检测，离线数据不丢失，数据来源和有效期可辨识。</x:v>
      </x:c>
      <x:c r="E5" s="20" t="n">
        <x:f>SUMIF('后续任务'!H5:H16,A5,'后续任务'!G5:G16)</x:f>
        <x:v>11</x:v>
      </x:c>
      <x:c r="F5" s="19" t="str">
        <x:v>T01–T03</x:v>
      </x:c>
    </x:row>
    <x:row r="6" ht="72" customHeight="1">
      <x:c r="A6" s="4" t="str">
        <x:v>B2</x:v>
      </x:c>
      <x:c r="B6" s="4" t="str">
        <x:v>工艺口径与模型验收</x:v>
      </x:c>
      <x:c r="C6" s="4" t="str">
        <x:v>测点、秤点及样本分组确认</x:v>
      </x:c>
      <x:c r="D6" s="4" t="str">
        <x:v>双皮带不互相覆盖；计算口径经现场确认；模型验证无泄漏且可回滚。</x:v>
      </x:c>
      <x:c r="E6" s="21" t="n">
        <x:f>SUMIF('后续任务'!H5:H16,A6,'后续任务'!G5:G16)</x:f>
        <x:v>12</x:v>
      </x:c>
      <x:c r="F6" s="4" t="str">
        <x:v>T04–T07</x:v>
      </x:c>
    </x:row>
    <x:row r="7" ht="72" customHeight="1">
      <x:c r="A7" s="19" t="str">
        <x:v>B3</x:v>
      </x:c>
      <x:c r="B7" s="19" t="str">
        <x:v>部署与可维护性</x:v>
      </x:c>
      <x:c r="C7" s="19" t="str">
        <x:v>增量同步接口稳定</x:v>
      </x:c>
      <x:c r="D7" s="19" t="str">
        <x:v>权限隔离与审计可用，备份恢复可演练，生产部署和查询性能可复现。</x:v>
      </x:c>
      <x:c r="E7" s="20" t="n">
        <x:f>SUMIF('后续任务'!H5:H16,A7,'后续任务'!G5:G16)</x:f>
        <x:v>14</x:v>
      </x:c>
      <x:c r="F7" s="19" t="str">
        <x:v>T08–T11</x:v>
      </x:c>
    </x:row>
    <x:row r="8" ht="72" customHeight="1">
      <x:c r="A8" s="4" t="str">
        <x:v>B4</x:v>
      </x:c>
      <x:c r="B8" s="4" t="str">
        <x:v>现场接入与标定</x:v>
      </x:c>
      <x:c r="C8" s="4" t="str">
        <x:v>工艺、仪表人员提供窗口</x:v>
      </x:c>
      <x:c r="D8" s="4" t="str">
        <x:v>只读接入和影子运行通过；密度时延与增益完成实验验收。</x:v>
      </x:c>
      <x:c r="E8" s="21" t="n">
        <x:f>SUMIF('后续任务'!H5:H16,A8,'后续任务'!G5:G16)</x:f>
        <x:v>5</x:v>
      </x:c>
      <x:c r="F8" s="4" t="str">
        <x:v>T12</x:v>
      </x:c>
    </x:row>
    <x:row r="9">
      <x:c r="E9" s="24"/>
    </x:row>
    <x:row r="10">
      <x:c r="A10" s="28"/>
      <x:c r="B10" s="28"/>
      <x:c r="C10" s="28"/>
      <x:c r="D10" s="28" t="str">
        <x:v>总工作量（人日）</x:v>
      </x:c>
      <x:c r="E10" s="29" t="n">
        <x:f>SUM(E5:E8)</x:f>
        <x:v>42</x:v>
      </x:c>
      <x:c r="F10" s="28"/>
    </x:row>
    <x:row r="11">
      <x:c r="A11" s="28"/>
      <x:c r="B11" s="28"/>
      <x:c r="C11" s="28"/>
      <x:c r="D11" s="28"/>
      <x:c r="E11" s="28"/>
      <x:c r="F11" s="28"/>
    </x:row>
    <x:row r="12" ht="48" customHeight="1">
      <x:c r="A12" s="28" t="str">
        <x:v>说明</x:v>
      </x:c>
      <x:c r="B12" s="28" t="str">
        <x:v>估算假设</x:v>
      </x:c>
      <x:c r="C12" s="28" t="str">
        <x:v>1名开发者，工艺和仪表人员配合</x:v>
      </x:c>
      <x:c r="D12" s="28" t="str">
        <x:v>不含传感器采购、现场实验等待、生产发布审批与样本积累。</x:v>
      </x:c>
      <x:c r="E12" s="28"/>
      <x:c r="F12" s="28"/>
    </x:row>
    <x:row r="13" ht="48" customHeight="1">
      <x:c r="A13" s="28"/>
      <x:c r="B13" s="28" t="str">
        <x:v>评估依据</x:v>
      </x:c>
      <x:c r="C13" s="28" t="str">
        <x:v>2026-09-21 项目代码与测试</x:v>
      </x:c>
      <x:c r="D13" s="28" t="str">
        <x:v>取值与密度决策、整库迁移、训练交叉验证、数据唯一键、权限与部署脚本。未做现场工艺验收。</x:v>
      </x:c>
      <x:c r="E13" s="28"/>
      <x:c r="F13" s="28"/>
    </x:row>
  </x:sheetData>
  <x:pageMargins left="0.7" right="0.7" top="0.75" bottom="0.75" header="0.3" footer="0.3"/>
</x:worksheet>
</file>