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概述" sheetId="1" state="visible" r:id="rId1"/>
    <sheet name="前置条件与安全" sheetId="2" state="visible" r:id="rId2"/>
    <sheet name="实验方案" sheetId="3" state="visible" r:id="rId3"/>
    <sheet name="采样记录表" sheetId="4" state="visible" r:id="rId4"/>
    <sheet name="K计算表" sheetId="5" state="visible" r:id="rId5"/>
    <sheet name="系统录入指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0" customWidth="1" min="3" max="3"/>
  </cols>
  <sheetData>
    <row r="1">
      <c r="A1" s="1" t="inlineStr">
        <is>
          <t>序号</t>
        </is>
      </c>
      <c r="B1" s="1" t="inlineStr">
        <is>
          <t>项目</t>
        </is>
      </c>
      <c r="C1" s="1" t="inlineStr">
        <is>
          <t>内容</t>
        </is>
      </c>
    </row>
    <row r="2">
      <c r="A2" s="2" t="n">
        <v>1</v>
      </c>
      <c r="B2" s="3" t="inlineStr">
        <is>
          <t>实验目的</t>
        </is>
      </c>
      <c r="C2" s="3" t="inlineStr">
        <is>
          <t>辨识「悬浮液密度 → 重介精煤灰分」的开环增益 K = Δρ/ΔA(密度每变化 0.01 g/cm³,重介精煤灰分变化多少)。K 是密度指导的核心物理参数:专家表的换算(0.15%→调0.01、0.25%→调0.02,反推 K≈0.067~0.08)与调密后灰分预测(当前用常数 0.075)都依赖它。</t>
        </is>
      </c>
    </row>
    <row r="3">
      <c r="A3" s="2" t="n">
        <v>2</v>
      </c>
      <c r="B3" s="3" t="inlineStr">
        <is>
          <t>为什么必须做实验</t>
        </is>
      </c>
      <c r="C3" s="3" t="inlineStr">
        <is>
          <t>常规操作数据是闭环的:操作工看到灰分偏高→下调密度,数据里高灰分与低密度总是同时出现,回归得到的是控制器的反方向而非过程增益。系统对现有 283 对(502灰分,密度)常规数据做过分系统辨识:斜率≈0或负(R²&lt;0.07),物理约束正确拒绝——结论:常规数据无法辨识 K,必须主动做密度阶跃,让密度独立于灰分变动,打破闭环。</t>
        </is>
      </c>
    </row>
    <row r="4">
      <c r="A4" s="2" t="n">
        <v>3</v>
      </c>
      <c r="B4" s="3" t="inlineStr">
        <is>
          <t>实验原理</t>
        </is>
      </c>
      <c r="C4" s="3" t="inlineStr">
        <is>
          <t>在稳定工况下,将密度设定值主动阶跃 ±0.01 g/cm³ 并保持足够时间,记录新稳态下的 502 皮带灰分(502 只承载重介精煤,即重介灰分的在线测量)变化量 ΔA。每一步得到一对 (Δρ, ΔA),K_i = Δρ_i / ΔA_i;多步平均即开环增益。上-下交替的阶跃序列可抵消原煤性质慢漂移的影响。</t>
        </is>
      </c>
    </row>
    <row r="5">
      <c r="A5" s="2" t="n">
        <v>4</v>
      </c>
      <c r="B5" s="3" t="inlineStr">
        <is>
          <t>预期产出</t>
        </is>
      </c>
      <c r="C5" s="3" t="inlineStr">
        <is>
          <t>① 3~6 组 (Δρ, ΔA) 稳态对;② 数据驱动的 K(均值±离散度),与专家经验值 0.067~0.08 对比;③ 录入系统后:K 估计链路(≥5 对生效,物理约束校验 0.005&lt;K&lt;0.2)自动从「不可辨识」切换为「数据驱动」,密度指导与调密后灰分预测全部用实测 K。</t>
        </is>
      </c>
    </row>
    <row r="6">
      <c r="A6" s="2" t="n">
        <v>5</v>
      </c>
      <c r="B6" s="3" t="inlineStr">
        <is>
          <t>量级预估</t>
        </is>
      </c>
      <c r="C6" s="3" t="inlineStr">
        <is>
          <t>按专家值 K≈0.075:步长 0.01 → ΔA≈0.13%;步长 0.02 → ΔA≈0.27%。502 灰分仪分辨率若为 0.05%~0.1%,0.01 步的信号可能接近噪声下限——因此方案以 0.01 为主步长,若 ΔA 信号不足(见判定标准)加做 0.02 步。</t>
        </is>
      </c>
    </row>
    <row r="7">
      <c r="A7" s="2" t="n">
        <v>6</v>
      </c>
      <c r="B7" s="3" t="inlineStr">
        <is>
          <t>时长与人力</t>
        </is>
      </c>
      <c r="C7" s="3" t="inlineStr">
        <is>
          <t>标准方案 6 阶段 × 2h = 12h(一个班次);最少可行方案 4 阶段(见实验方案 Sheet)。每阶段需要:密度调节 1 次、密度计/502灰分仪每 15min 抄表(各 8 点)、315 灰分化验 1~2 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10" customWidth="1" min="4" max="4"/>
  </cols>
  <sheetData>
    <row r="1">
      <c r="A1" s="1" t="inlineStr">
        <is>
          <t>类别</t>
        </is>
      </c>
      <c r="B1" s="1" t="inlineStr">
        <is>
          <t>检查项</t>
        </is>
      </c>
      <c r="C1" s="1" t="inlineStr">
        <is>
          <t>标准/说明</t>
        </is>
      </c>
      <c r="D1" s="1" t="inlineStr">
        <is>
          <t>确认(√)</t>
        </is>
      </c>
    </row>
    <row r="2">
      <c r="A2" s="2" t="inlineStr">
        <is>
          <t>工况稳定</t>
        </is>
      </c>
      <c r="B2" s="3" t="inlineStr">
        <is>
          <t>原煤性质</t>
        </is>
      </c>
      <c r="C2" s="3" t="inlineStr">
        <is>
          <t>同一煤层/同一配煤方案,近 2h 原煤灰分波动 &lt; ±1%(表1 原煤灰分列)</t>
        </is>
      </c>
      <c r="D2" s="2" t="inlineStr"/>
    </row>
    <row r="3">
      <c r="A3" s="2" t="inlineStr">
        <is>
          <t>工况稳定</t>
        </is>
      </c>
      <c r="B3" s="3" t="inlineStr">
        <is>
          <t>带煤量</t>
        </is>
      </c>
      <c r="C3" s="3" t="inlineStr">
        <is>
          <t>稳定在正常范围,近 2h 波动 &lt; ±10%(实验期间不改带煤量)</t>
        </is>
      </c>
      <c r="D3" s="2" t="inlineStr"/>
    </row>
    <row r="4">
      <c r="A4" s="2" t="inlineStr">
        <is>
          <t>工况稳定</t>
        </is>
      </c>
      <c r="B4" s="3" t="inlineStr">
        <is>
          <t>系统组合</t>
        </is>
      </c>
      <c r="C4" s="3" t="inlineStr">
        <is>
          <t>A/B/401/402/473/474 开停组合不变;确需倒系统则本次实验作废重做</t>
        </is>
      </c>
      <c r="D4" s="2" t="inlineStr"/>
    </row>
    <row r="5">
      <c r="A5" s="2" t="inlineStr">
        <is>
          <t>工况稳定</t>
        </is>
      </c>
      <c r="B5" s="3" t="inlineStr">
        <is>
          <t>浮选环节</t>
        </is>
      </c>
      <c r="C5" s="3" t="inlineStr">
        <is>
          <t>加药制度不变(浮精灰分不受本实验影响,用于事后校核)</t>
        </is>
      </c>
      <c r="D5" s="2" t="inlineStr"/>
    </row>
    <row r="6">
      <c r="A6" s="2" t="inlineStr">
        <is>
          <t>仪表可用</t>
        </is>
      </c>
      <c r="B6" s="3" t="inlineStr">
        <is>
          <t>密度计</t>
        </is>
      </c>
      <c r="C6" s="3" t="inlineStr">
        <is>
          <t>读数稳定、已校验;阶跃后实际密度应在 10min 内到位(±0.003)</t>
        </is>
      </c>
      <c r="D6" s="2" t="inlineStr"/>
    </row>
    <row r="7">
      <c r="A7" s="2" t="inlineStr">
        <is>
          <t>仪表可用</t>
        </is>
      </c>
      <c r="B7" s="3" t="inlineStr">
        <is>
          <t>502 皮带灰分仪</t>
        </is>
      </c>
      <c r="C7" s="3" t="inlineStr">
        <is>
          <t>正常运行,记录间隔 ≤15min;这是 ΔA 的主观测点</t>
        </is>
      </c>
      <c r="D7" s="2" t="inlineStr"/>
    </row>
    <row r="8">
      <c r="A8" s="2" t="inlineStr">
        <is>
          <t>仪表可用</t>
        </is>
      </c>
      <c r="B8" s="3" t="inlineStr">
        <is>
          <t>315 灰分化验</t>
        </is>
      </c>
      <c r="C8" s="3" t="inlineStr">
        <is>
          <t>化验资源就位:每阶段稳态末可出 1 次化验(与 502 在线值互相印证)</t>
        </is>
      </c>
      <c r="D8" s="2" t="inlineStr"/>
    </row>
    <row r="9">
      <c r="A9" s="2" t="inlineStr">
        <is>
          <t>安全边界</t>
        </is>
      </c>
      <c r="B9" s="3" t="inlineStr">
        <is>
          <t>密度范围</t>
        </is>
      </c>
      <c r="C9" s="3" t="inlineStr">
        <is>
          <t>全程钳制在 ρ0±0.03 且 [1.44, 1.52] g/cm³ 内;越界立即回基线</t>
        </is>
      </c>
      <c r="D9" s="2" t="inlineStr"/>
    </row>
    <row r="10">
      <c r="A10" s="2" t="inlineStr">
        <is>
          <t>安全边界</t>
        </is>
      </c>
      <c r="B10" s="3" t="inlineStr">
        <is>
          <t>产品质量</t>
        </is>
      </c>
      <c r="C10" s="3" t="inlineStr">
        <is>
          <t>任一时刻总精煤灰分偏离目标 ±0.5% 以上、或产品判定异常 → 中止实验,恢复常规控制</t>
        </is>
      </c>
      <c r="D10" s="2" t="inlineStr"/>
    </row>
    <row r="11">
      <c r="A11" s="2" t="inlineStr">
        <is>
          <t>安全边界</t>
        </is>
      </c>
      <c r="B11" s="3" t="inlineStr">
        <is>
          <t>单步幅度</t>
        </is>
      </c>
      <c r="C11" s="3" t="inlineStr">
        <is>
          <t>每步 ≤0.01(信号不足经判定后最多放宽到 0.02),严禁一步到位式大步长</t>
        </is>
      </c>
      <c r="D11" s="2" t="inlineStr"/>
    </row>
    <row r="12">
      <c r="A12" s="2" t="inlineStr">
        <is>
          <t>组织</t>
        </is>
      </c>
      <c r="B12" s="3" t="inlineStr">
        <is>
          <t>人员分工</t>
        </is>
      </c>
      <c r="C12" s="3" t="inlineStr">
        <is>
          <t>密度调节/抄表/化验/记录 各有专人;实验期间暂停其他工艺试验</t>
        </is>
      </c>
      <c r="D12" s="2" t="inlineStr"/>
    </row>
    <row r="13">
      <c r="A13" s="2" t="inlineStr">
        <is>
          <t>组织</t>
        </is>
      </c>
      <c r="B13" s="3" t="inlineStr">
        <is>
          <t>时间窗</t>
        </is>
      </c>
      <c r="C13" s="3" t="inlineStr">
        <is>
          <t>选在检修后稳定生产时段,避开交接班前后 1h</t>
        </is>
      </c>
      <c r="D1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8" customWidth="1" min="3" max="3"/>
    <col width="40" customWidth="1" min="4" max="4"/>
    <col width="30" customWidth="1" min="5" max="5"/>
    <col width="30" customWidth="1" min="6" max="6"/>
  </cols>
  <sheetData>
    <row r="1">
      <c r="A1" s="1" t="inlineStr">
        <is>
          <t>阶段</t>
        </is>
      </c>
      <c r="B1" s="1" t="inlineStr">
        <is>
          <t>时长</t>
        </is>
      </c>
      <c r="C1" s="1" t="inlineStr">
        <is>
          <t>密度设定</t>
        </is>
      </c>
      <c r="D1" s="1" t="inlineStr">
        <is>
          <t>动作要点</t>
        </is>
      </c>
      <c r="E1" s="1" t="inlineStr">
        <is>
          <t>采样要求</t>
        </is>
      </c>
      <c r="F1" s="1" t="inlineStr">
        <is>
          <t>判稳条件</t>
        </is>
      </c>
    </row>
    <row r="2">
      <c r="A2" s="2" t="inlineStr">
        <is>
          <t>P1 基准期</t>
        </is>
      </c>
      <c r="B2" s="2" t="inlineStr">
        <is>
          <t>2h</t>
        </is>
      </c>
      <c r="C2" s="3" t="inlineStr">
        <is>
          <t>ρ0(当前运行密度,示例 1.49)</t>
        </is>
      </c>
      <c r="D2" s="3" t="inlineStr">
        <is>
          <t>不调节,保持当前密度;记录基线密度与基线灰分</t>
        </is>
      </c>
      <c r="E2" s="3" t="inlineStr">
        <is>
          <t>密度计/502仪每15min;315化验×2(阶段初+末)</t>
        </is>
      </c>
      <c r="F2" s="3" t="inlineStr">
        <is>
          <t>连续 1h 内 502 灰分 15min 极差 &lt; ±0.1%</t>
        </is>
      </c>
    </row>
    <row r="3">
      <c r="A3" s="2" t="inlineStr">
        <is>
          <t>P2 阶跃↑</t>
        </is>
      </c>
      <c r="B3" s="2" t="inlineStr">
        <is>
          <t>2h</t>
        </is>
      </c>
      <c r="C3" s="3" t="inlineStr">
        <is>
          <t>ρ0 + 0.01</t>
        </is>
      </c>
      <c r="D3" s="3" t="inlineStr">
        <is>
          <t>一步阶跃上调密度 0.01,到位后保持;期间不改其他任何操作</t>
        </is>
      </c>
      <c r="E3" s="3" t="inlineStr">
        <is>
          <t>密度计/502仪每15min;315化验×1(稳态末)</t>
        </is>
      </c>
      <c r="F3" s="3" t="inlineStr">
        <is>
          <t>调后 ≥60min 且 502 灰分趋稳(15min 极差 &lt; ±0.1%)</t>
        </is>
      </c>
    </row>
    <row r="4">
      <c r="A4" s="2" t="inlineStr">
        <is>
          <t>P3 回基线</t>
        </is>
      </c>
      <c r="B4" s="2" t="inlineStr">
        <is>
          <t>2h</t>
        </is>
      </c>
      <c r="C4" s="3" t="inlineStr">
        <is>
          <t>ρ0(当前运行密度,示例 1.49)</t>
        </is>
      </c>
      <c r="D4" s="3" t="inlineStr">
        <is>
          <t>一步调回 ρ0,验证响应可复现(上下行的 ΔA 应同量级)</t>
        </is>
      </c>
      <c r="E4" s="3" t="inlineStr">
        <is>
          <t>同上;315化验×1</t>
        </is>
      </c>
      <c r="F4" s="3" t="inlineStr">
        <is>
          <t>同上</t>
        </is>
      </c>
    </row>
    <row r="5">
      <c r="A5" s="2" t="inlineStr">
        <is>
          <t>P4 阶跃↓</t>
        </is>
      </c>
      <c r="B5" s="2" t="inlineStr">
        <is>
          <t>2h</t>
        </is>
      </c>
      <c r="C5" s="3" t="inlineStr">
        <is>
          <t>ρ0 − 0.01</t>
        </is>
      </c>
      <c r="D5" s="3" t="inlineStr">
        <is>
          <t>一步阶跃下调 0.01;与 P2 构成上-下交替,抵消慢漂移</t>
        </is>
      </c>
      <c r="E5" s="3" t="inlineStr">
        <is>
          <t>同上;315化验×1</t>
        </is>
      </c>
      <c r="F5" s="3" t="inlineStr">
        <is>
          <t>同上</t>
        </is>
      </c>
    </row>
    <row r="6">
      <c r="A6" s="2" t="inlineStr">
        <is>
          <t>P5 回基线</t>
        </is>
      </c>
      <c r="B6" s="2" t="inlineStr">
        <is>
          <t>2h</t>
        </is>
      </c>
      <c r="C6" s="3" t="inlineStr">
        <is>
          <t>ρ0(当前运行密度,示例 1.49)</t>
        </is>
      </c>
      <c r="D6" s="3" t="inlineStr">
        <is>
          <t>回到 ρ0 结束(最少可行方案到此为止,共 8h/4 阶段)</t>
        </is>
      </c>
      <c r="E6" s="3" t="inlineStr">
        <is>
          <t>同上;315化验×1</t>
        </is>
      </c>
      <c r="F6" s="3" t="inlineStr">
        <is>
          <t>同上</t>
        </is>
      </c>
    </row>
    <row r="7">
      <c r="A7" s="2" t="inlineStr">
        <is>
          <t>P6 加测(可选)</t>
        </is>
      </c>
      <c r="B7" s="2" t="inlineStr">
        <is>
          <t>2h</t>
        </is>
      </c>
      <c r="C7" s="3" t="inlineStr">
        <is>
          <t>ρ0 + 0.02 或 ρ0 − 0.02</t>
        </is>
      </c>
      <c r="D7" s="3" t="inlineStr">
        <is>
          <t>仅当 0.01 步的 ΔA 信号不足(判定见 K计算表)时执行:加大步长提高信噪比</t>
        </is>
      </c>
      <c r="E7" s="3" t="inlineStr">
        <is>
          <t>同上;315化验×1</t>
        </is>
      </c>
      <c r="F7" s="3" t="inlineStr">
        <is>
          <t>同上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5" customWidth="1" min="4" max="4"/>
    <col width="12" customWidth="1" min="5" max="5"/>
    <col width="13" customWidth="1" min="6" max="6"/>
    <col width="11" customWidth="1" min="7" max="7"/>
    <col width="11" customWidth="1" min="8" max="8"/>
    <col width="11" customWidth="1" min="9" max="9"/>
    <col width="9" customWidth="1" min="10" max="10"/>
    <col width="18" customWidth="1" min="11" max="11"/>
  </cols>
  <sheetData>
    <row r="1">
      <c r="A1" s="1" t="inlineStr">
        <is>
          <t>阶段</t>
        </is>
      </c>
      <c r="B1" s="1" t="inlineStr">
        <is>
          <t>日期时间</t>
        </is>
      </c>
      <c r="C1" s="1" t="inlineStr">
        <is>
          <t>密度设定值(g/cm³)</t>
        </is>
      </c>
      <c r="D1" s="1" t="inlineStr">
        <is>
          <t>密度计实测(g/cm³)</t>
        </is>
      </c>
      <c r="E1" s="1" t="inlineStr">
        <is>
          <t>502灰分仪(%)</t>
        </is>
      </c>
      <c r="F1" s="1" t="inlineStr">
        <is>
          <t>315化验灰分(%)</t>
        </is>
      </c>
      <c r="G1" s="1" t="inlineStr">
        <is>
          <t>带煤量(t/h)</t>
        </is>
      </c>
      <c r="H1" s="1" t="inlineStr">
        <is>
          <t>浮精灰分(%)</t>
        </is>
      </c>
      <c r="I1" s="1" t="inlineStr">
        <is>
          <t>原煤灰分(%)</t>
        </is>
      </c>
      <c r="J1" s="1" t="inlineStr">
        <is>
          <t>操作员</t>
        </is>
      </c>
      <c r="K1" s="1" t="inlineStr">
        <is>
          <t>备注</t>
        </is>
      </c>
    </row>
    <row r="2">
      <c r="A2" s="2" t="inlineStr">
        <is>
          <t>P1 基准期</t>
        </is>
      </c>
      <c r="B2" s="4" t="n"/>
      <c r="C2" s="2" t="inlineStr">
        <is>
          <t>ρ0</t>
        </is>
      </c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2" t="inlineStr">
        <is>
          <t>P1 基准期</t>
        </is>
      </c>
      <c r="B3" s="4" t="n"/>
      <c r="C3" s="2" t="inlineStr">
        <is>
          <t>ρ0</t>
        </is>
      </c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2" t="inlineStr">
        <is>
          <t>P1 基准期</t>
        </is>
      </c>
      <c r="B4" s="4" t="n"/>
      <c r="C4" s="2" t="inlineStr">
        <is>
          <t>ρ0</t>
        </is>
      </c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2" t="inlineStr">
        <is>
          <t>P1 基准期</t>
        </is>
      </c>
      <c r="B5" s="4" t="n"/>
      <c r="C5" s="2" t="inlineStr">
        <is>
          <t>ρ0</t>
        </is>
      </c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2" t="inlineStr">
        <is>
          <t>P1 基准期</t>
        </is>
      </c>
      <c r="B6" s="4" t="n"/>
      <c r="C6" s="2" t="inlineStr">
        <is>
          <t>ρ0</t>
        </is>
      </c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2" t="inlineStr">
        <is>
          <t>P1 基准期</t>
        </is>
      </c>
      <c r="B7" s="4" t="n"/>
      <c r="C7" s="2" t="inlineStr">
        <is>
          <t>ρ0</t>
        </is>
      </c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2" t="inlineStr">
        <is>
          <t>P1 基准期</t>
        </is>
      </c>
      <c r="B8" s="4" t="n"/>
      <c r="C8" s="2" t="inlineStr">
        <is>
          <t>ρ0</t>
        </is>
      </c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2" t="inlineStr">
        <is>
          <t>P1 基准期</t>
        </is>
      </c>
      <c r="B9" s="4" t="n"/>
      <c r="C9" s="2" t="inlineStr">
        <is>
          <t>ρ0</t>
        </is>
      </c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2" t="inlineStr">
        <is>
          <t>P2 阶跃↑</t>
        </is>
      </c>
      <c r="B10" s="4" t="n"/>
      <c r="C10" s="2" t="inlineStr">
        <is>
          <t>ρ0+0.01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2" t="inlineStr">
        <is>
          <t>P2 阶跃↑</t>
        </is>
      </c>
      <c r="B11" s="4" t="n"/>
      <c r="C11" s="2" t="inlineStr">
        <is>
          <t>ρ0+0.01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2" t="inlineStr">
        <is>
          <t>P2 阶跃↑</t>
        </is>
      </c>
      <c r="B12" s="4" t="n"/>
      <c r="C12" s="2" t="inlineStr">
        <is>
          <t>ρ0+0.01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2" t="inlineStr">
        <is>
          <t>P2 阶跃↑</t>
        </is>
      </c>
      <c r="B13" s="4" t="n"/>
      <c r="C13" s="2" t="inlineStr">
        <is>
          <t>ρ0+0.01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2" t="inlineStr">
        <is>
          <t>P2 阶跃↑</t>
        </is>
      </c>
      <c r="B14" s="4" t="n"/>
      <c r="C14" s="2" t="inlineStr">
        <is>
          <t>ρ0+0.01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2" t="inlineStr">
        <is>
          <t>P2 阶跃↑</t>
        </is>
      </c>
      <c r="B15" s="4" t="n"/>
      <c r="C15" s="2" t="inlineStr">
        <is>
          <t>ρ0+0.01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2" t="inlineStr">
        <is>
          <t>P2 阶跃↑</t>
        </is>
      </c>
      <c r="B16" s="4" t="n"/>
      <c r="C16" s="2" t="inlineStr">
        <is>
          <t>ρ0+0.01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2" t="inlineStr">
        <is>
          <t>P2 阶跃↑</t>
        </is>
      </c>
      <c r="B17" s="4" t="n"/>
      <c r="C17" s="2" t="inlineStr">
        <is>
          <t>ρ0+0.01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2" t="inlineStr">
        <is>
          <t>P3 回基线</t>
        </is>
      </c>
      <c r="B18" s="4" t="n"/>
      <c r="C18" s="2" t="inlineStr">
        <is>
          <t>ρ0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2" t="inlineStr">
        <is>
          <t>P3 回基线</t>
        </is>
      </c>
      <c r="B19" s="4" t="n"/>
      <c r="C19" s="2" t="inlineStr">
        <is>
          <t>ρ0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2" t="inlineStr">
        <is>
          <t>P3 回基线</t>
        </is>
      </c>
      <c r="B20" s="4" t="n"/>
      <c r="C20" s="2" t="inlineStr">
        <is>
          <t>ρ0</t>
        </is>
      </c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2" t="inlineStr">
        <is>
          <t>P3 回基线</t>
        </is>
      </c>
      <c r="B21" s="4" t="n"/>
      <c r="C21" s="2" t="inlineStr">
        <is>
          <t>ρ0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2" t="inlineStr">
        <is>
          <t>P3 回基线</t>
        </is>
      </c>
      <c r="B22" s="4" t="n"/>
      <c r="C22" s="2" t="inlineStr">
        <is>
          <t>ρ0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2" t="inlineStr">
        <is>
          <t>P3 回基线</t>
        </is>
      </c>
      <c r="B23" s="4" t="n"/>
      <c r="C23" s="2" t="inlineStr">
        <is>
          <t>ρ0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2" t="inlineStr">
        <is>
          <t>P3 回基线</t>
        </is>
      </c>
      <c r="B24" s="4" t="n"/>
      <c r="C24" s="2" t="inlineStr">
        <is>
          <t>ρ0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2" t="inlineStr">
        <is>
          <t>P3 回基线</t>
        </is>
      </c>
      <c r="B25" s="4" t="n"/>
      <c r="C25" s="2" t="inlineStr">
        <is>
          <t>ρ0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2" t="inlineStr">
        <is>
          <t>P4 阶跃↓</t>
        </is>
      </c>
      <c r="B26" s="4" t="n"/>
      <c r="C26" s="2" t="inlineStr">
        <is>
          <t>ρ0−0.01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2" t="inlineStr">
        <is>
          <t>P4 阶跃↓</t>
        </is>
      </c>
      <c r="B27" s="4" t="n"/>
      <c r="C27" s="2" t="inlineStr">
        <is>
          <t>ρ0−0.01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2" t="inlineStr">
        <is>
          <t>P4 阶跃↓</t>
        </is>
      </c>
      <c r="B28" s="4" t="n"/>
      <c r="C28" s="2" t="inlineStr">
        <is>
          <t>ρ0−0.01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2" t="inlineStr">
        <is>
          <t>P4 阶跃↓</t>
        </is>
      </c>
      <c r="B29" s="4" t="n"/>
      <c r="C29" s="2" t="inlineStr">
        <is>
          <t>ρ0−0.01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2" t="inlineStr">
        <is>
          <t>P4 阶跃↓</t>
        </is>
      </c>
      <c r="B30" s="4" t="n"/>
      <c r="C30" s="2" t="inlineStr">
        <is>
          <t>ρ0−0.01</t>
        </is>
      </c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2" t="inlineStr">
        <is>
          <t>P4 阶跃↓</t>
        </is>
      </c>
      <c r="B31" s="4" t="n"/>
      <c r="C31" s="2" t="inlineStr">
        <is>
          <t>ρ0−0.01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2" t="inlineStr">
        <is>
          <t>P4 阶跃↓</t>
        </is>
      </c>
      <c r="B32" s="4" t="n"/>
      <c r="C32" s="2" t="inlineStr">
        <is>
          <t>ρ0−0.01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2" t="inlineStr">
        <is>
          <t>P4 阶跃↓</t>
        </is>
      </c>
      <c r="B33" s="4" t="n"/>
      <c r="C33" s="2" t="inlineStr">
        <is>
          <t>ρ0−0.01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2" t="inlineStr">
        <is>
          <t>P5 回基线</t>
        </is>
      </c>
      <c r="B34" s="4" t="n"/>
      <c r="C34" s="2" t="inlineStr">
        <is>
          <t>ρ0</t>
        </is>
      </c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2" t="inlineStr">
        <is>
          <t>P5 回基线</t>
        </is>
      </c>
      <c r="B35" s="4" t="n"/>
      <c r="C35" s="2" t="inlineStr">
        <is>
          <t>ρ0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2" t="inlineStr">
        <is>
          <t>P5 回基线</t>
        </is>
      </c>
      <c r="B36" s="4" t="n"/>
      <c r="C36" s="2" t="inlineStr">
        <is>
          <t>ρ0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2" t="inlineStr">
        <is>
          <t>P5 回基线</t>
        </is>
      </c>
      <c r="B37" s="4" t="n"/>
      <c r="C37" s="2" t="inlineStr">
        <is>
          <t>ρ0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2" t="inlineStr">
        <is>
          <t>P5 回基线</t>
        </is>
      </c>
      <c r="B38" s="4" t="n"/>
      <c r="C38" s="2" t="inlineStr">
        <is>
          <t>ρ0</t>
        </is>
      </c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2" t="inlineStr">
        <is>
          <t>P5 回基线</t>
        </is>
      </c>
      <c r="B39" s="4" t="n"/>
      <c r="C39" s="2" t="inlineStr">
        <is>
          <t>ρ0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2" t="inlineStr">
        <is>
          <t>P5 回基线</t>
        </is>
      </c>
      <c r="B40" s="4" t="n"/>
      <c r="C40" s="2" t="inlineStr">
        <is>
          <t>ρ0</t>
        </is>
      </c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2" t="inlineStr">
        <is>
          <t>P5 回基线</t>
        </is>
      </c>
      <c r="B41" s="4" t="n"/>
      <c r="C41" s="2" t="inlineStr">
        <is>
          <t>ρ0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2" t="inlineStr">
        <is>
          <t>P6 加测(可选)</t>
        </is>
      </c>
      <c r="B42" s="4" t="n"/>
      <c r="C42" s="2" t="inlineStr">
        <is>
          <t>ρ0±0.02</t>
        </is>
      </c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2" t="inlineStr">
        <is>
          <t>P6 加测(可选)</t>
        </is>
      </c>
      <c r="B43" s="4" t="n"/>
      <c r="C43" s="2" t="inlineStr">
        <is>
          <t>ρ0±0.02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2" t="inlineStr">
        <is>
          <t>P6 加测(可选)</t>
        </is>
      </c>
      <c r="B44" s="4" t="n"/>
      <c r="C44" s="2" t="inlineStr">
        <is>
          <t>ρ0±0.02</t>
        </is>
      </c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2" t="inlineStr">
        <is>
          <t>P6 加测(可选)</t>
        </is>
      </c>
      <c r="B45" s="4" t="n"/>
      <c r="C45" s="2" t="inlineStr">
        <is>
          <t>ρ0±0.02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2" t="inlineStr">
        <is>
          <t>P6 加测(可选)</t>
        </is>
      </c>
      <c r="B46" s="4" t="n"/>
      <c r="C46" s="2" t="inlineStr">
        <is>
          <t>ρ0±0.02</t>
        </is>
      </c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2" t="inlineStr">
        <is>
          <t>P6 加测(可选)</t>
        </is>
      </c>
      <c r="B47" s="4" t="n"/>
      <c r="C47" s="2" t="inlineStr">
        <is>
          <t>ρ0±0.02</t>
        </is>
      </c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2" t="inlineStr">
        <is>
          <t>P6 加测(可选)</t>
        </is>
      </c>
      <c r="B48" s="4" t="n"/>
      <c r="C48" s="2" t="inlineStr">
        <is>
          <t>ρ0±0.02</t>
        </is>
      </c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2" t="inlineStr">
        <is>
          <t>P6 加测(可选)</t>
        </is>
      </c>
      <c r="B49" s="4" t="n"/>
      <c r="C49" s="2" t="inlineStr">
        <is>
          <t>ρ0±0.02</t>
        </is>
      </c>
      <c r="D49" s="4" t="n"/>
      <c r="E49" s="4" t="n"/>
      <c r="F49" s="4" t="n"/>
      <c r="G49" s="4" t="n"/>
      <c r="H49" s="4" t="n"/>
      <c r="I49" s="4" t="n"/>
      <c r="J49" s="4" t="n"/>
      <c r="K49" s="4" t="n"/>
    </row>
    <row r="51">
      <c r="A51" s="5" t="inlineStr">
        <is>
          <t>填写说明:①每行=一次抄表(建议15min间隔);②315化验有结果时填第6列,该行其余列照常抄;③密度计实测填调节到位后的稳定读数;④备注记录异常(停机/倒系统/加药变动)。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3" customWidth="1" min="4" max="4"/>
    <col width="20" customWidth="1" min="5" max="5"/>
    <col width="22" customWidth="1" min="6" max="6"/>
  </cols>
  <sheetData>
    <row r="1">
      <c r="A1" s="1" t="inlineStr">
        <is>
          <t>项目</t>
        </is>
      </c>
      <c r="B1" s="1" t="inlineStr">
        <is>
          <t>说明</t>
        </is>
      </c>
      <c r="C1" s="1" t="inlineStr">
        <is>
          <t>数值/公式</t>
        </is>
      </c>
      <c r="D1" s="1" t="n"/>
      <c r="E1" s="1" t="n"/>
      <c r="F1" s="1" t="n"/>
    </row>
    <row r="2">
      <c r="A2" s="2" t="inlineStr">
        <is>
          <t>ρ0 基线密度</t>
        </is>
      </c>
      <c r="B2" s="6" t="inlineStr">
        <is>
          <t>P1 稳态密度计均值(g/cm³)</t>
        </is>
      </c>
      <c r="C2" s="6" t="inlineStr"/>
      <c r="D2" s="3" t="n"/>
      <c r="E2" s="3" t="n"/>
      <c r="F2" s="3" t="n"/>
    </row>
    <row r="3">
      <c r="A3" s="2" t="inlineStr">
        <is>
          <t>A0 基线灰分</t>
        </is>
      </c>
      <c r="B3" s="6" t="inlineStr">
        <is>
          <t>P1 稳态 502 仪均值(%)</t>
        </is>
      </c>
      <c r="C3" s="6" t="inlineStr"/>
      <c r="D3" s="3" t="n"/>
      <c r="E3" s="3" t="n"/>
      <c r="F3" s="3" t="n"/>
    </row>
    <row r="4">
      <c r="A4" s="2" t="inlineStr"/>
      <c r="B4" s="3" t="inlineStr"/>
      <c r="C4" s="3" t="inlineStr"/>
      <c r="D4" s="3" t="n"/>
      <c r="E4" s="3" t="n"/>
      <c r="F4" s="3" t="n"/>
    </row>
    <row r="5">
      <c r="A5" s="2" t="inlineStr">
        <is>
          <t>#表头</t>
        </is>
      </c>
      <c r="B5" s="3" t="inlineStr">
        <is>
          <t>Δρ(稳态密度−ρ0)</t>
        </is>
      </c>
      <c r="C5" s="3" t="inlineStr">
        <is>
          <t>ΔA(稳态502均值−A0)</t>
        </is>
      </c>
      <c r="D5" s="3" t="n"/>
      <c r="E5" s="3" t="n"/>
      <c r="F5" s="3" t="n"/>
    </row>
    <row r="6">
      <c r="A6" s="2" t="inlineStr">
        <is>
          <t>P2 (ρ0+0.01) 稳态密度</t>
        </is>
      </c>
      <c r="B6" s="6" t="inlineStr">
        <is>
          <t>填 P2 判稳后密度均值</t>
        </is>
      </c>
      <c r="C6" s="6" t="inlineStr"/>
      <c r="D6" s="3" t="n"/>
      <c r="E6" s="3" t="n"/>
      <c r="F6" s="3" t="n"/>
    </row>
    <row r="7">
      <c r="A7" s="2" t="inlineStr">
        <is>
          <t>P2 稳态502灰分</t>
        </is>
      </c>
      <c r="B7" s="6" t="inlineStr">
        <is>
          <t>填 P2 判稳后 502 均值(%)</t>
        </is>
      </c>
      <c r="C7" s="6" t="inlineStr"/>
      <c r="D7" s="3" t="n"/>
      <c r="E7" s="3" t="n"/>
      <c r="F7" s="3" t="n"/>
    </row>
    <row r="8">
      <c r="A8" s="2" t="inlineStr">
        <is>
          <t>P3 回基线 稳态密度</t>
        </is>
      </c>
      <c r="B8" s="6" t="inlineStr">
        <is>
          <t>填 P3 判稳后密度均值</t>
        </is>
      </c>
      <c r="C8" s="6" t="inlineStr"/>
      <c r="D8" s="3" t="n"/>
      <c r="E8" s="3" t="n"/>
      <c r="F8" s="3" t="n"/>
    </row>
    <row r="9">
      <c r="A9" s="2" t="inlineStr">
        <is>
          <t>P3 稳态502灰分</t>
        </is>
      </c>
      <c r="B9" s="6" t="inlineStr">
        <is>
          <t>填 P3 判稳后 502 均值(%)</t>
        </is>
      </c>
      <c r="C9" s="6" t="inlineStr"/>
      <c r="D9" s="3" t="n"/>
      <c r="E9" s="3" t="n"/>
      <c r="F9" s="3" t="n"/>
    </row>
    <row r="10">
      <c r="A10" s="2" t="inlineStr">
        <is>
          <t>P4 (ρ0−0.01) 稳态密度</t>
        </is>
      </c>
      <c r="B10" s="6" t="inlineStr">
        <is>
          <t>填 P4 判稳后密度均值</t>
        </is>
      </c>
      <c r="C10" s="6" t="inlineStr"/>
      <c r="D10" s="3" t="n"/>
      <c r="E10" s="3" t="n"/>
      <c r="F10" s="3" t="n"/>
    </row>
    <row r="11">
      <c r="A11" s="2" t="inlineStr">
        <is>
          <t>P4 稳态502灰分</t>
        </is>
      </c>
      <c r="B11" s="6" t="inlineStr">
        <is>
          <t>填 P4 判稳后 502 均值(%)</t>
        </is>
      </c>
      <c r="C11" s="6" t="inlineStr"/>
      <c r="D11" s="3" t="n"/>
      <c r="E11" s="3" t="n"/>
      <c r="F11" s="3" t="n"/>
    </row>
    <row r="12">
      <c r="A12" s="2" t="inlineStr">
        <is>
          <t>P6 (可选) 稳态密度</t>
        </is>
      </c>
      <c r="B12" s="6" t="inlineStr">
        <is>
          <t>填 P6 判稳后密度均值(未做留空)</t>
        </is>
      </c>
      <c r="C12" s="6" t="inlineStr"/>
      <c r="D12" s="3" t="n"/>
      <c r="E12" s="3" t="n"/>
      <c r="F12" s="3" t="n"/>
    </row>
    <row r="13">
      <c r="A13" s="2" t="inlineStr">
        <is>
          <t>P6 稳态502灰分</t>
        </is>
      </c>
      <c r="B13" s="6" t="inlineStr">
        <is>
          <t>填 P6 判稳后 502 均值(未做留空)</t>
        </is>
      </c>
      <c r="C13" s="6" t="inlineStr"/>
      <c r="D13" s="3" t="n"/>
      <c r="E13" s="3" t="n"/>
      <c r="F13" s="3" t="n"/>
    </row>
    <row r="14">
      <c r="A14" s="2" t="inlineStr">
        <is>
          <t>自动计算区</t>
        </is>
      </c>
      <c r="B14" s="3" t="inlineStr">
        <is>
          <t>公式自动计算,无需填写</t>
        </is>
      </c>
      <c r="C14" s="3" t="n"/>
      <c r="D14" s="3" t="n"/>
      <c r="E14" s="3" t="n"/>
      <c r="F14" s="3" t="n"/>
    </row>
    <row r="15">
      <c r="A15" s="2" t="n"/>
      <c r="B15" s="3" t="n"/>
      <c r="C15" s="3" t="n"/>
      <c r="D15" s="3" t="n"/>
      <c r="E15" s="3" t="n"/>
      <c r="F15" s="3" t="n"/>
    </row>
    <row r="16">
      <c r="A16" s="2" t="n"/>
      <c r="B16" s="7" t="n"/>
      <c r="C16" s="7" t="n"/>
      <c r="D16" s="7" t="n"/>
      <c r="E16" s="7" t="n"/>
      <c r="F16" s="7" t="n"/>
    </row>
    <row r="17">
      <c r="A17" s="2" t="inlineStr">
        <is>
          <t>P2 ↑</t>
        </is>
      </c>
      <c r="B17" s="7">
        <f>IF(B6="","",B6-$B$2)</f>
        <v/>
      </c>
      <c r="C17" s="7">
        <f>IF(B7="","",B7-$B$3)</f>
        <v/>
      </c>
      <c r="D17" s="7">
        <f>IF(OR(B6="",B7=""),"",(B6-$B$2)/(B7-$B$3))</f>
        <v/>
      </c>
      <c r="E17" s="7">
        <f>IF(D17="","",IF((B6-$B$2)*(B7-$B$3)&gt;0,"同向(密度↑灰分↑)","反向!检查数据"))</f>
        <v/>
      </c>
      <c r="F17" s="7">
        <f>IF(D17="","",IF(AND(D17&gt;0.005,D17&lt;0.2),"有效","越界(0.005~0.2),弃用"))</f>
        <v/>
      </c>
    </row>
    <row r="18">
      <c r="A18" s="2" t="inlineStr">
        <is>
          <t>P3 ↓(回基线)</t>
        </is>
      </c>
      <c r="B18" s="7">
        <f>IF(B8="","",B8-$B$2)</f>
        <v/>
      </c>
      <c r="C18" s="7">
        <f>IF(B9="","",B9-$B$3)</f>
        <v/>
      </c>
      <c r="D18" s="7">
        <f>IF(OR(B8="",B9=""),"",(B8-$B$2)/(B9-$B$3))</f>
        <v/>
      </c>
      <c r="E18" s="7">
        <f>IF(D18="","",IF((B8-$B$2)*(B9-$B$3)&gt;0,"同向(密度↑灰分↑)","反向!检查数据"))</f>
        <v/>
      </c>
      <c r="F18" s="7">
        <f>IF(D18="","",IF(AND(D18&gt;0.005,D18&lt;0.2),"有效","越界(0.005~0.2),弃用"))</f>
        <v/>
      </c>
    </row>
    <row r="19">
      <c r="A19" s="2" t="inlineStr">
        <is>
          <t>P4 ↓</t>
        </is>
      </c>
      <c r="B19" s="7">
        <f>IF(B10="","",B10-$B$2)</f>
        <v/>
      </c>
      <c r="C19" s="7">
        <f>IF(B11="","",B11-$B$3)</f>
        <v/>
      </c>
      <c r="D19" s="7">
        <f>IF(OR(B10="",B11=""),"",(B10-$B$2)/(B11-$B$3))</f>
        <v/>
      </c>
      <c r="E19" s="7">
        <f>IF(D19="","",IF((B10-$B$2)*(B11-$B$3)&gt;0,"同向(密度↑灰分↑)","反向!检查数据"))</f>
        <v/>
      </c>
      <c r="F19" s="7">
        <f>IF(D19="","",IF(AND(D19&gt;0.005,D19&lt;0.2),"有效","越界(0.005~0.2),弃用"))</f>
        <v/>
      </c>
    </row>
    <row r="20">
      <c r="A20" s="2" t="inlineStr">
        <is>
          <t>P6(可选)</t>
        </is>
      </c>
      <c r="B20" s="7">
        <f>IF(B12="","",B12-$B$2)</f>
        <v/>
      </c>
      <c r="C20" s="7">
        <f>IF(B13="","",B13-$B$3)</f>
        <v/>
      </c>
      <c r="D20" s="7">
        <f>IF(OR(B12="",B13=""),"",(B12-$B$2)/(B13-$B$3))</f>
        <v/>
      </c>
      <c r="E20" s="7">
        <f>IF(D20="","",IF((B12-$B$2)*(B13-$B$3)&gt;0,"同向(密度↑灰分↑)","反向!检查数据"))</f>
        <v/>
      </c>
      <c r="F20" s="7">
        <f>IF(D20="","",IF(AND(D20&gt;0.005,D20&lt;0.2),"有效","越界(0.005~0.2),弃用"))</f>
        <v/>
      </c>
    </row>
    <row r="21">
      <c r="A21" s="2" t="inlineStr">
        <is>
          <t>K 平均值</t>
        </is>
      </c>
      <c r="B21" s="7">
        <f>IFERROR(AVERAGE(D17:D20),"")</f>
        <v/>
      </c>
      <c r="C21" s="7" t="n"/>
      <c r="D21" s="7" t="n"/>
      <c r="E21" s="7" t="n"/>
      <c r="F21" s="7" t="n"/>
    </row>
    <row r="22">
      <c r="A22" s="2" t="inlineStr">
        <is>
          <t>K 标准差</t>
        </is>
      </c>
      <c r="B22" s="7">
        <f>IFERROR(STDEV(D17:D20),"")</f>
        <v/>
      </c>
      <c r="C22" s="7" t="n"/>
      <c r="D22" s="7" t="n"/>
      <c r="E22" s="7" t="n"/>
      <c r="F22" s="7" t="n"/>
    </row>
    <row r="23">
      <c r="A23" s="2" t="inlineStr">
        <is>
          <t>变异系数CV</t>
        </is>
      </c>
      <c r="B23" s="7">
        <f>IFERROR(B22/B21,"")</f>
        <v/>
      </c>
      <c r="C23" s="7" t="inlineStr">
        <is>
          <t>CV&lt;30% 视为可辨识;≥30% 说明信号不足或工况漂移</t>
        </is>
      </c>
      <c r="D23" s="7" t="n"/>
      <c r="E23" s="7" t="n"/>
      <c r="F23" s="7" t="n"/>
    </row>
    <row r="24">
      <c r="A24" s="2" t="inlineStr">
        <is>
          <t>与专家值对比</t>
        </is>
      </c>
      <c r="B24" s="7">
        <f>IF(B21="","",B21-0.075)</f>
        <v/>
      </c>
      <c r="C24" s="7" t="inlineStr">
        <is>
          <t>与专家表反推值 0.075 的偏差;±0.02 内认为经验值得到验证</t>
        </is>
      </c>
      <c r="D24" s="7" t="n"/>
      <c r="E24" s="7" t="n"/>
      <c r="F24" s="7" t="n"/>
    </row>
    <row r="25">
      <c r="A25" s="2" t="inlineStr">
        <is>
          <t>结论建议</t>
        </is>
      </c>
      <c r="B25" s="7">
        <f>IF(B21="","待填",IF(ABS(B21-0.075)&lt;0.02,"专家值得到验证,维持现行专家表",IF(B23&gt;0.3,"信号不足:加做0.02步长(P6)或延长保持时间","建议按实测K修订专家表与K_PREDICT")))</f>
        <v/>
      </c>
      <c r="C25" s="7" t="n"/>
      <c r="D25" s="7" t="n"/>
      <c r="E25" s="7" t="n"/>
      <c r="F25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52" customWidth="1" min="3" max="3"/>
    <col width="44" customWidth="1" min="4" max="4"/>
  </cols>
  <sheetData>
    <row r="1">
      <c r="A1" s="1" t="inlineStr">
        <is>
          <t>序号</t>
        </is>
      </c>
      <c r="B1" s="1" t="inlineStr">
        <is>
          <t>步骤</t>
        </is>
      </c>
      <c r="C1" s="1" t="inlineStr">
        <is>
          <t>操作</t>
        </is>
      </c>
      <c r="D1" s="1" t="inlineStr">
        <is>
          <t>说明</t>
        </is>
      </c>
    </row>
    <row r="2">
      <c r="A2" s="2" t="n">
        <v>1</v>
      </c>
      <c r="B2" s="3" t="inlineStr">
        <is>
          <t>整理采样对</t>
        </is>
      </c>
      <c r="C2" s="3" t="inlineStr">
        <is>
          <t>从采样记录表提取「判稳时段」的 (采样时间, 密度计实测, 502灰分仪读数) 三列,剔除判稳前的过渡段</t>
        </is>
      </c>
      <c r="D2" s="3" t="inlineStr">
        <is>
          <t>只录稳态对——阶跃实验的价值在稳态增益,过渡段数据会污染 K</t>
        </is>
      </c>
    </row>
    <row r="3">
      <c r="A3" s="2" t="n">
        <v>2</v>
      </c>
      <c r="B3" s="3" t="inlineStr">
        <is>
          <t>录入方式A(推荐):表3补录</t>
        </is>
      </c>
      <c r="C3" s="3" t="inlineStr">
        <is>
          <t>系统「数据采集与补录」页 → 灰分密度补录:系统=A/B、皮带=502、灰分=502读数、密度=密度计读数;或按表3 Excel 模板(采样时间|系统|皮带|灰分%|密度值)整理后走「批量数据导入」</t>
        </is>
      </c>
      <c r="D3" s="3" t="inlineStr">
        <is>
          <t>表3(ash_density)记录是 K 估计链路的直接数据源(densityGainK 分系统 OLS);502 皮带 = 重介在线灰分,与工艺分工一致</t>
        </is>
      </c>
    </row>
    <row r="4">
      <c r="A4" s="2" t="n">
        <v>3</v>
      </c>
      <c r="B4" s="3" t="inlineStr">
        <is>
          <t>录入方式B:重介灰分采样</t>
        </is>
      </c>
      <c r="C4" s="3" t="inlineStr">
        <is>
          <t>「数据采集」页重介灰分采样表单 (ts, rho, ash) → heavy_samples 表</t>
        </is>
      </c>
      <c r="D4" s="3" t="inlineStr">
        <is>
          <t>作为化验级记录留存;注意当前 K 计算链消费的是表3,方式A才是生效路径</t>
        </is>
      </c>
    </row>
    <row r="5">
      <c r="A5" s="2" t="n">
        <v>4</v>
      </c>
      <c r="B5" s="3" t="inlineStr">
        <is>
          <t>生效条件</t>
        </is>
      </c>
      <c r="C5" s="3" t="inlineStr">
        <is>
          <t>有效配对 ≥5 条(分系统)后,K 估计自动从「不可辨识(回退专家值0.075)」切换为「数据驱动」;物理约束(0.005&lt;K&lt;0.2,分系统斜率为正)会自动校验</t>
        </is>
      </c>
      <c r="D5" s="3" t="inlineStr">
        <is>
          <t>总览页「预测增益K」的来源会显示为「表3配对数据驱动,n=xx,分系统加权」</t>
        </is>
      </c>
    </row>
    <row r="6">
      <c r="A6" s="2" t="n">
        <v>5</v>
      </c>
      <c r="B6" s="3" t="inlineStr">
        <is>
          <t>结果核对</t>
        </is>
      </c>
      <c r="C6" s="3" t="inlineStr">
        <is>
          <t>对比页面显示的 K 与本工作簿 K计算表 的手工结果,两者应一致(±舍入)</t>
        </is>
      </c>
      <c r="D6" s="3" t="inlineStr">
        <is>
          <t>不一致通常意味着录入的时段包含过渡段数据——回查第1步</t>
        </is>
      </c>
    </row>
    <row r="7">
      <c r="A7" s="2" t="n">
        <v>6</v>
      </c>
      <c r="B7" s="3" t="inlineStr">
        <is>
          <t>后续校准(可选)</t>
        </is>
      </c>
      <c r="C7" s="3" t="inlineStr">
        <is>
          <t>若实测 K 与 0.075 偏差 &gt;0.02:把专家表锚点按 K 重算(0.01/K=灰分死区上沿等),并同步 K_PREDICT 常数——需要开发侧修改,先记录在案</t>
        </is>
      </c>
      <c r="D7" s="3" t="inlineStr">
        <is>
          <t>专家表当前锚点:|ΔA|0.15%→Δρ0.01、0.25%→0.02(反推 K=0.067~0.08)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2026-09-10T02:58:02Z</dcterms:created>
  <dcterms:modified xsi:type="dcterms:W3CDTF">2026-09-10T02:58:02Z</dcterms:modified>
</cp:coreProperties>
</file>